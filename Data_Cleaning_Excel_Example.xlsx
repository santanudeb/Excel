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bS\Downloads\Excel\"/>
    </mc:Choice>
  </mc:AlternateContent>
  <xr:revisionPtr revIDLastSave="0" documentId="13_ncr:1_{75E3DFEF-9C1E-497B-AEAF-B242F0C6DFE9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US_Presidents Database" sheetId="1" r:id="rId1"/>
    <sheet name="US_Presidents Database Working" sheetId="3" r:id="rId2"/>
    <sheet name="WorkingData" sheetId="2" r:id="rId3"/>
  </sheets>
  <definedNames>
    <definedName name="_xlnm._FilterDatabase" localSheetId="1" hidden="1">'US_Presidents Database Working'!$A$1:$H$1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2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3" i="2"/>
  <c r="A4" i="2"/>
  <c r="A5" i="2"/>
  <c r="A6" i="2"/>
  <c r="A2" i="2"/>
</calcChain>
</file>

<file path=xl/sharedStrings.xml><?xml version="1.0" encoding="utf-8"?>
<sst xmlns="http://schemas.openxmlformats.org/spreadsheetml/2006/main" count="341" uniqueCount="146">
  <si>
    <t>S.No.</t>
  </si>
  <si>
    <t>president</t>
  </si>
  <si>
    <t>prior</t>
  </si>
  <si>
    <t>party</t>
  </si>
  <si>
    <t>vice</t>
  </si>
  <si>
    <t>George Washington</t>
  </si>
  <si>
    <t>Commander-in-Chief  of the  Continental Army   ( 1775â€“1783 )</t>
  </si>
  <si>
    <t>John Adams</t>
  </si>
  <si>
    <t>john adams</t>
  </si>
  <si>
    <t>1st  Vice President of the United States</t>
  </si>
  <si>
    <t>Federalist</t>
  </si>
  <si>
    <t>Thomas Jefferson</t>
  </si>
  <si>
    <t>2nd  Vice President of the United States</t>
  </si>
  <si>
    <t>Democratic-  Republican</t>
  </si>
  <si>
    <t xml:space="preserve">    Aaron Burr</t>
  </si>
  <si>
    <t>James Madison</t>
  </si>
  <si>
    <t>5th  United States Secretary of State   (1801â€“1809)</t>
  </si>
  <si>
    <t>George    Clinton</t>
  </si>
  <si>
    <t>JAMES MONROE</t>
  </si>
  <si>
    <t>7th  United States Secretary of State   (1811â€“1817)</t>
  </si>
  <si>
    <t>Daniel D. Tompkins</t>
  </si>
  <si>
    <t>John Quincy Adams</t>
  </si>
  <si>
    <t>8th  United States Secretary of State   (1817â€“1825)</t>
  </si>
  <si>
    <t>John C. Calhoun</t>
  </si>
  <si>
    <t>Andrew Jackson</t>
  </si>
  <si>
    <t>U.S. Senator   ( Class 2 )   from  Tennessee   (1823â€“1825)</t>
  </si>
  <si>
    <t>Democratic</t>
  </si>
  <si>
    <t>John C.     Calhoun</t>
  </si>
  <si>
    <t>Martin Van Buren</t>
  </si>
  <si>
    <t>8th  Vice President of the United States</t>
  </si>
  <si>
    <t>Richard Mentor Johnson</t>
  </si>
  <si>
    <t>William Henry Harrison</t>
  </si>
  <si>
    <t>United States Minister to Colombia   (1828â€“1829)</t>
  </si>
  <si>
    <t>Whig</t>
  </si>
  <si>
    <t>John Tyler</t>
  </si>
  <si>
    <t>john tyler</t>
  </si>
  <si>
    <t>10th  Vice President of the United States</t>
  </si>
  <si>
    <t>Whig   April 4, 1841  â€“  September 13, 1841</t>
  </si>
  <si>
    <t>Office vacant</t>
  </si>
  <si>
    <t>James K. Polk</t>
  </si>
  <si>
    <t>9th  Governor of Tennessee   (1839â€“1841)</t>
  </si>
  <si>
    <t>George         M. Dallas</t>
  </si>
  <si>
    <t>Zachary Taylor</t>
  </si>
  <si>
    <t>Major General  of the  1st Infantry Regiment   United States Army   (1846â€“1849)</t>
  </si>
  <si>
    <t xml:space="preserve">               Millard Fillmore</t>
  </si>
  <si>
    <t>Millard Fillmore</t>
  </si>
  <si>
    <t>12th  Vice President of the United States</t>
  </si>
  <si>
    <t>Franklin Pierce</t>
  </si>
  <si>
    <t>Brigadier General  of the  9th Infantry   United States Army   (1847â€“1848)</t>
  </si>
  <si>
    <t>William R. King</t>
  </si>
  <si>
    <t>James Buchanan</t>
  </si>
  <si>
    <t>United States Minister  to the   Court of St James's   (1853â€“1856)</t>
  </si>
  <si>
    <t>John C. Breckinridge</t>
  </si>
  <si>
    <t>Abraham Lincoln</t>
  </si>
  <si>
    <t>U.S. Representative  for  Illinois' 7th District   (1847â€“1849)</t>
  </si>
  <si>
    <t>Hannibal Hamlin</t>
  </si>
  <si>
    <t>Andrew Johnson</t>
  </si>
  <si>
    <t>16th  Vice President of the United States</t>
  </si>
  <si>
    <t>Ulysses S. Grant</t>
  </si>
  <si>
    <t>Commanding General  of the U.S. Army   ( 1864â€“1869 )</t>
  </si>
  <si>
    <t>Republican</t>
  </si>
  <si>
    <t>Schuyler Colfax</t>
  </si>
  <si>
    <t>Rutherford B. Hayes</t>
  </si>
  <si>
    <t>29th &amp; 32nd  Governor of Ohio   (1868â€“1872 &amp; 1876â€“1877)</t>
  </si>
  <si>
    <t>William A. Wheeler</t>
  </si>
  <si>
    <t>James A. Garfield</t>
  </si>
  <si>
    <t>U.S. Representative  for  Ohio's 19th District   (1863â€“1881)</t>
  </si>
  <si>
    <t>Chester A. Arthur</t>
  </si>
  <si>
    <t>20th  Vice President of the United States</t>
  </si>
  <si>
    <t>Grover Cleveland</t>
  </si>
  <si>
    <t>28th  Governor of New York   (1883â€“1885)</t>
  </si>
  <si>
    <t>Thomas A. Hendricks</t>
  </si>
  <si>
    <t>Benjamin Harrison</t>
  </si>
  <si>
    <t>U.S. Senator   ( Class 1 )   from  Indiana   (1881â€“1887)</t>
  </si>
  <si>
    <t>Levi P. Morton</t>
  </si>
  <si>
    <t>22nd  President of the United States   (1885â€“1889)</t>
  </si>
  <si>
    <t>Adlai Stevenson</t>
  </si>
  <si>
    <t>William McKinley</t>
  </si>
  <si>
    <t>39th  Governor of Ohio   (1892â€“1896)</t>
  </si>
  <si>
    <t>Garret Hobart</t>
  </si>
  <si>
    <t>Theodore Roosevelt</t>
  </si>
  <si>
    <t>25th  Vice President of the United States</t>
  </si>
  <si>
    <t>William Howard Taft</t>
  </si>
  <si>
    <t>42nd  United States Secretary of War   (1904â€“1908)</t>
  </si>
  <si>
    <t>James S. Sherman</t>
  </si>
  <si>
    <t>Woodrow Wilson</t>
  </si>
  <si>
    <t>34th  Governor of New Jersey   (1911â€“1913)</t>
  </si>
  <si>
    <t>Thomas R. Marshall</t>
  </si>
  <si>
    <t>Warren G. Harding</t>
  </si>
  <si>
    <t>U.S. Senator   ( Class 3 )   from  Ohio   (1915â€“1921)</t>
  </si>
  <si>
    <t>Calvin Coolidge</t>
  </si>
  <si>
    <t>29th  Vice President of the United States</t>
  </si>
  <si>
    <t>Herbert Hoover</t>
  </si>
  <si>
    <t>3rd  United States Secretary of Commerce   (1921â€“1928)</t>
  </si>
  <si>
    <t>Charles Curtis</t>
  </si>
  <si>
    <t>Franklin D. Roosevelt</t>
  </si>
  <si>
    <t>44th  Governor of New York   ( 1929â€“1932 )</t>
  </si>
  <si>
    <t>John Nance Garner</t>
  </si>
  <si>
    <t>Harry S. Truman</t>
  </si>
  <si>
    <t>34th  Vice President of the United States</t>
  </si>
  <si>
    <t>Dwight D. Eisenhower</t>
  </si>
  <si>
    <t>Supreme Allied Commander Europe   ( 1949â€“1952 )</t>
  </si>
  <si>
    <t>Richard Nixon</t>
  </si>
  <si>
    <t>John F. Kennedy</t>
  </si>
  <si>
    <t>U.S. Senator   ( Class 1 )   from  Massachusetts   (1953â€“1960)</t>
  </si>
  <si>
    <t>Lyndon B. Johnson</t>
  </si>
  <si>
    <t>37th  Vice President of the United States</t>
  </si>
  <si>
    <t>36th  Vice President of the United States   (1953â€“1961)</t>
  </si>
  <si>
    <t>Spiro Agnew</t>
  </si>
  <si>
    <t>Gerald Ford</t>
  </si>
  <si>
    <t>40th  Vice President of the United States</t>
  </si>
  <si>
    <t>Jimmy Carter</t>
  </si>
  <si>
    <t>76th  Governor of Georgia   (1971â€“1975)</t>
  </si>
  <si>
    <t>Walter Mondale</t>
  </si>
  <si>
    <t>Ronald Reagan</t>
  </si>
  <si>
    <t>33rd  Governor of California   ( 1967â€“1975 )</t>
  </si>
  <si>
    <t>George H. W. Bush</t>
  </si>
  <si>
    <t>43rd  Vice President of the United States</t>
  </si>
  <si>
    <t>Dan Quayle</t>
  </si>
  <si>
    <t>Bill Clinton</t>
  </si>
  <si>
    <t>40th &amp; 42nd  Governor of Arkansas   (1979â€“1981 &amp; 1983â€“1992)</t>
  </si>
  <si>
    <t>Al Gore</t>
  </si>
  <si>
    <t>George W. Bush</t>
  </si>
  <si>
    <t>46th  Governor of Texas   ( 1995â€“2000 )</t>
  </si>
  <si>
    <t>Dick Cheney</t>
  </si>
  <si>
    <t>Barack Obama</t>
  </si>
  <si>
    <t>U.S. Senator   ( Class 3 )   from  Illinois   ( 2005â€“2008 )</t>
  </si>
  <si>
    <t>Joe Biden</t>
  </si>
  <si>
    <t>Donald Trump</t>
  </si>
  <si>
    <t>Chairman of   The Trump Organization   ( 1971â€“present )</t>
  </si>
  <si>
    <t>Mike Pence</t>
  </si>
  <si>
    <t>Nonpartisan</t>
  </si>
  <si>
    <t>Republicans</t>
  </si>
  <si>
    <t>Demorcatic</t>
  </si>
  <si>
    <t>salary</t>
  </si>
  <si>
    <t>date created</t>
  </si>
  <si>
    <t>date updated</t>
  </si>
  <si>
    <t>president(Upper)</t>
  </si>
  <si>
    <t>president(Lower)</t>
  </si>
  <si>
    <t>president(Proper)</t>
  </si>
  <si>
    <t>Trim(Vice)</t>
  </si>
  <si>
    <t>James Monroe</t>
  </si>
  <si>
    <t>William Mckinley</t>
  </si>
  <si>
    <t>Aaron Burr</t>
  </si>
  <si>
    <t>George Clinton</t>
  </si>
  <si>
    <t>George M. Dallas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</si>
</sst>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&quot;$&quot;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164" fontId="0" fillId="0" borderId="0" xfId="0" applyNumberFormat="1"/>
    <xf numFmtId="49" fontId="0" fillId="0" borderId="0" xfId="0" applyNumberFormat="1"/>
    <xf numFmtId="165" fontId="0" fillId="0" borderId="0" xfId="0" applyNumberFormat="1"/>
    <xf numFmtId="0" fontId="16" fillId="33" borderId="0" xfId="0" applyFont="1" applyFill="1"/>
    <xf numFmtId="1" fontId="0" fillId="0" borderId="0" xfId="0" applyNumberFormat="1"/>
    <xf numFmtId="1" fontId="16" fillId="33" borderId="0" xfId="0" applyNumberFormat="1" applyFont="1" applyFill="1"/>
    <xf numFmtId="14" fontId="16" fillId="33" borderId="0" xfId="0" applyNumberFormat="1" applyFont="1" applyFill="1"/>
    <xf numFmtId="49" fontId="16" fillId="33" borderId="0" xfId="0" applyNumberFormat="1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8"/>
  <sheetViews>
    <sheetView workbookViewId="0">
      <selection activeCell="B20" sqref="B20"/>
    </sheetView>
  </sheetViews>
  <sheetFormatPr defaultColWidth="23.54296875" defaultRowHeight="14.5" x14ac:dyDescent="0.35"/>
  <cols>
    <col min="7" max="7" width="23.54296875" style="3"/>
  </cols>
  <sheetData>
    <row r="1" spans="1:9" x14ac:dyDescent="0.35">
      <c r="A1" s="5"/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9" t="s">
        <v>134</v>
      </c>
      <c r="H1" s="5" t="s">
        <v>136</v>
      </c>
      <c r="I1" s="5" t="s">
        <v>135</v>
      </c>
    </row>
    <row r="2" spans="1:9" x14ac:dyDescent="0.35">
      <c r="A2">
        <v>0</v>
      </c>
      <c r="B2">
        <v>1</v>
      </c>
      <c r="C2" t="s">
        <v>5</v>
      </c>
      <c r="D2" t="s">
        <v>6</v>
      </c>
      <c r="E2" t="s">
        <v>131</v>
      </c>
      <c r="F2" t="s">
        <v>7</v>
      </c>
      <c r="G2" s="4">
        <v>5000</v>
      </c>
      <c r="H2" s="1">
        <v>44391</v>
      </c>
      <c r="I2" s="1">
        <v>40972</v>
      </c>
    </row>
    <row r="3" spans="1:9" x14ac:dyDescent="0.35">
      <c r="A3">
        <v>1</v>
      </c>
      <c r="B3">
        <v>2</v>
      </c>
      <c r="C3" t="s">
        <v>8</v>
      </c>
      <c r="D3" t="s">
        <v>9</v>
      </c>
      <c r="E3" t="s">
        <v>10</v>
      </c>
      <c r="F3" t="s">
        <v>11</v>
      </c>
      <c r="G3" s="4">
        <v>10000</v>
      </c>
      <c r="H3" s="1">
        <v>44391</v>
      </c>
      <c r="I3" s="1">
        <v>40972</v>
      </c>
    </row>
    <row r="4" spans="1:9" x14ac:dyDescent="0.35">
      <c r="A4">
        <v>2</v>
      </c>
      <c r="B4">
        <v>3</v>
      </c>
      <c r="C4" t="s">
        <v>11</v>
      </c>
      <c r="D4" t="s">
        <v>12</v>
      </c>
      <c r="E4" t="s">
        <v>13</v>
      </c>
      <c r="F4" t="s">
        <v>14</v>
      </c>
      <c r="G4" s="4">
        <v>15000</v>
      </c>
      <c r="H4" s="1">
        <v>44391</v>
      </c>
      <c r="I4" s="1">
        <v>40972</v>
      </c>
    </row>
    <row r="5" spans="1:9" x14ac:dyDescent="0.35">
      <c r="A5">
        <v>3</v>
      </c>
      <c r="B5">
        <v>4</v>
      </c>
      <c r="C5" t="s">
        <v>15</v>
      </c>
      <c r="D5" t="s">
        <v>16</v>
      </c>
      <c r="E5" t="s">
        <v>13</v>
      </c>
      <c r="F5" t="s">
        <v>17</v>
      </c>
      <c r="G5" s="4">
        <v>20000</v>
      </c>
      <c r="H5" s="1">
        <v>44391</v>
      </c>
      <c r="I5" s="1">
        <v>40972</v>
      </c>
    </row>
    <row r="6" spans="1:9" x14ac:dyDescent="0.35">
      <c r="A6">
        <v>4</v>
      </c>
      <c r="B6">
        <v>5</v>
      </c>
      <c r="C6" t="s">
        <v>18</v>
      </c>
      <c r="D6" t="s">
        <v>19</v>
      </c>
      <c r="E6" t="s">
        <v>13</v>
      </c>
      <c r="F6" t="s">
        <v>20</v>
      </c>
      <c r="G6" s="4">
        <v>25000</v>
      </c>
      <c r="H6" s="1">
        <v>44391</v>
      </c>
      <c r="I6" s="1">
        <v>40972</v>
      </c>
    </row>
    <row r="7" spans="1:9" x14ac:dyDescent="0.35">
      <c r="A7">
        <v>5</v>
      </c>
      <c r="B7">
        <v>6</v>
      </c>
      <c r="C7" t="s">
        <v>21</v>
      </c>
      <c r="D7" t="s">
        <v>22</v>
      </c>
      <c r="E7" t="s">
        <v>13</v>
      </c>
      <c r="F7" t="s">
        <v>23</v>
      </c>
      <c r="G7" s="4">
        <v>30000</v>
      </c>
      <c r="H7" s="1">
        <v>44391</v>
      </c>
      <c r="I7" s="1">
        <v>40972</v>
      </c>
    </row>
    <row r="8" spans="1:9" x14ac:dyDescent="0.35">
      <c r="A8">
        <v>6</v>
      </c>
      <c r="B8">
        <v>7</v>
      </c>
      <c r="C8" t="s">
        <v>24</v>
      </c>
      <c r="D8" t="s">
        <v>25</v>
      </c>
      <c r="E8" t="s">
        <v>26</v>
      </c>
      <c r="F8" t="s">
        <v>27</v>
      </c>
      <c r="G8" s="4">
        <v>35000</v>
      </c>
      <c r="H8" s="1">
        <v>44391</v>
      </c>
      <c r="I8" s="1">
        <v>40972</v>
      </c>
    </row>
    <row r="9" spans="1:9" x14ac:dyDescent="0.35">
      <c r="A9">
        <v>7</v>
      </c>
      <c r="B9">
        <v>8</v>
      </c>
      <c r="C9" t="s">
        <v>28</v>
      </c>
      <c r="D9" t="s">
        <v>29</v>
      </c>
      <c r="E9" t="s">
        <v>26</v>
      </c>
      <c r="F9" t="s">
        <v>30</v>
      </c>
      <c r="G9" s="4">
        <v>40000</v>
      </c>
      <c r="H9" s="1">
        <v>44391</v>
      </c>
      <c r="I9" s="1">
        <v>40972</v>
      </c>
    </row>
    <row r="10" spans="1:9" x14ac:dyDescent="0.35">
      <c r="A10">
        <v>8</v>
      </c>
      <c r="B10">
        <v>9</v>
      </c>
      <c r="C10" t="s">
        <v>31</v>
      </c>
      <c r="D10" t="s">
        <v>32</v>
      </c>
      <c r="E10" t="s">
        <v>33</v>
      </c>
      <c r="F10" t="s">
        <v>34</v>
      </c>
      <c r="G10" s="4">
        <v>45000</v>
      </c>
      <c r="H10" s="1">
        <v>44391</v>
      </c>
      <c r="I10" s="1">
        <v>40972</v>
      </c>
    </row>
    <row r="11" spans="1:9" x14ac:dyDescent="0.35">
      <c r="A11">
        <v>9</v>
      </c>
      <c r="B11">
        <v>10</v>
      </c>
      <c r="C11" t="s">
        <v>35</v>
      </c>
      <c r="D11" t="s">
        <v>36</v>
      </c>
      <c r="E11" t="s">
        <v>37</v>
      </c>
      <c r="F11" t="s">
        <v>38</v>
      </c>
      <c r="G11" s="4">
        <v>50000</v>
      </c>
      <c r="H11" s="1">
        <v>44391</v>
      </c>
      <c r="I11" s="1">
        <v>40972</v>
      </c>
    </row>
    <row r="12" spans="1:9" x14ac:dyDescent="0.35">
      <c r="A12">
        <v>10</v>
      </c>
      <c r="B12">
        <v>11</v>
      </c>
      <c r="C12" t="s">
        <v>39</v>
      </c>
      <c r="D12" t="s">
        <v>40</v>
      </c>
      <c r="E12" t="s">
        <v>26</v>
      </c>
      <c r="F12" t="s">
        <v>41</v>
      </c>
      <c r="G12" s="4">
        <v>55000</v>
      </c>
      <c r="H12" s="1">
        <v>44391</v>
      </c>
      <c r="I12" s="1">
        <v>40972</v>
      </c>
    </row>
    <row r="13" spans="1:9" x14ac:dyDescent="0.35">
      <c r="A13">
        <v>11</v>
      </c>
      <c r="B13">
        <v>12</v>
      </c>
      <c r="C13" t="s">
        <v>42</v>
      </c>
      <c r="D13" t="s">
        <v>43</v>
      </c>
      <c r="E13" t="s">
        <v>33</v>
      </c>
      <c r="F13" t="s">
        <v>44</v>
      </c>
      <c r="G13" s="4">
        <v>60000</v>
      </c>
      <c r="H13" s="1">
        <v>44391</v>
      </c>
      <c r="I13" s="1">
        <v>40972</v>
      </c>
    </row>
    <row r="14" spans="1:9" x14ac:dyDescent="0.35">
      <c r="A14">
        <v>12</v>
      </c>
      <c r="B14">
        <v>13</v>
      </c>
      <c r="C14" t="s">
        <v>45</v>
      </c>
      <c r="D14" t="s">
        <v>46</v>
      </c>
      <c r="E14" t="s">
        <v>33</v>
      </c>
      <c r="F14" t="s">
        <v>38</v>
      </c>
      <c r="G14" s="4">
        <v>65000</v>
      </c>
      <c r="H14" s="1">
        <v>44391</v>
      </c>
      <c r="I14" s="1">
        <v>40972</v>
      </c>
    </row>
    <row r="15" spans="1:9" x14ac:dyDescent="0.35">
      <c r="A15">
        <v>13</v>
      </c>
      <c r="B15">
        <v>14</v>
      </c>
      <c r="C15" t="s">
        <v>47</v>
      </c>
      <c r="D15" t="s">
        <v>48</v>
      </c>
      <c r="E15" t="s">
        <v>26</v>
      </c>
      <c r="F15" t="s">
        <v>49</v>
      </c>
      <c r="G15" s="4">
        <v>75000</v>
      </c>
      <c r="H15" s="1">
        <v>44391</v>
      </c>
      <c r="I15" s="1">
        <v>40972</v>
      </c>
    </row>
    <row r="16" spans="1:9" x14ac:dyDescent="0.35">
      <c r="A16">
        <v>14</v>
      </c>
      <c r="B16">
        <v>15</v>
      </c>
      <c r="C16" t="s">
        <v>50</v>
      </c>
      <c r="D16" t="s">
        <v>51</v>
      </c>
      <c r="E16" t="s">
        <v>26</v>
      </c>
      <c r="F16" t="s">
        <v>52</v>
      </c>
      <c r="G16" s="4">
        <v>85000</v>
      </c>
      <c r="H16" s="1">
        <v>44391</v>
      </c>
      <c r="I16" s="1">
        <v>40972</v>
      </c>
    </row>
    <row r="17" spans="1:9" x14ac:dyDescent="0.35">
      <c r="A17">
        <v>15</v>
      </c>
      <c r="B17">
        <v>16</v>
      </c>
      <c r="C17" t="s">
        <v>53</v>
      </c>
      <c r="D17" t="s">
        <v>54</v>
      </c>
      <c r="E17" t="s">
        <v>60</v>
      </c>
      <c r="F17" t="s">
        <v>55</v>
      </c>
      <c r="G17" s="4">
        <v>95000</v>
      </c>
      <c r="H17" s="1">
        <v>44391</v>
      </c>
      <c r="I17" s="1">
        <v>40972</v>
      </c>
    </row>
    <row r="18" spans="1:9" x14ac:dyDescent="0.35">
      <c r="A18">
        <v>16</v>
      </c>
      <c r="B18">
        <v>17</v>
      </c>
      <c r="C18" t="s">
        <v>56</v>
      </c>
      <c r="D18" t="s">
        <v>57</v>
      </c>
      <c r="E18" t="s">
        <v>26</v>
      </c>
      <c r="F18" t="s">
        <v>38</v>
      </c>
      <c r="G18" s="4">
        <v>105000</v>
      </c>
      <c r="H18" s="1">
        <v>44391</v>
      </c>
      <c r="I18" s="1">
        <v>40972</v>
      </c>
    </row>
    <row r="19" spans="1:9" x14ac:dyDescent="0.35">
      <c r="A19">
        <v>17</v>
      </c>
      <c r="B19">
        <v>18</v>
      </c>
      <c r="C19" t="s">
        <v>58</v>
      </c>
      <c r="D19" t="s">
        <v>59</v>
      </c>
      <c r="E19" t="s">
        <v>60</v>
      </c>
      <c r="F19" t="s">
        <v>61</v>
      </c>
      <c r="G19" s="4">
        <v>115000</v>
      </c>
      <c r="H19" s="1">
        <v>44391</v>
      </c>
      <c r="I19" s="1">
        <v>40972</v>
      </c>
    </row>
    <row r="20" spans="1:9" x14ac:dyDescent="0.35">
      <c r="A20">
        <v>18</v>
      </c>
      <c r="B20">
        <v>19</v>
      </c>
      <c r="C20" t="s">
        <v>62</v>
      </c>
      <c r="D20" t="s">
        <v>63</v>
      </c>
      <c r="E20" t="s">
        <v>60</v>
      </c>
      <c r="F20" t="s">
        <v>64</v>
      </c>
      <c r="G20" s="4">
        <v>125000</v>
      </c>
      <c r="H20" s="1">
        <v>44391</v>
      </c>
      <c r="I20" s="1">
        <v>40972</v>
      </c>
    </row>
    <row r="21" spans="1:9" x14ac:dyDescent="0.35">
      <c r="A21">
        <v>19</v>
      </c>
      <c r="B21">
        <v>20</v>
      </c>
      <c r="C21" t="s">
        <v>65</v>
      </c>
      <c r="D21" t="s">
        <v>66</v>
      </c>
      <c r="E21" t="s">
        <v>60</v>
      </c>
      <c r="F21" t="s">
        <v>67</v>
      </c>
      <c r="G21" s="4">
        <v>135000</v>
      </c>
      <c r="H21" s="1">
        <v>44391</v>
      </c>
      <c r="I21" s="1">
        <v>40972</v>
      </c>
    </row>
    <row r="22" spans="1:9" x14ac:dyDescent="0.35">
      <c r="A22">
        <v>20</v>
      </c>
      <c r="B22">
        <v>21</v>
      </c>
      <c r="C22" t="s">
        <v>67</v>
      </c>
      <c r="D22" t="s">
        <v>68</v>
      </c>
      <c r="E22" t="s">
        <v>60</v>
      </c>
      <c r="F22" t="s">
        <v>38</v>
      </c>
      <c r="G22" s="4">
        <v>145000</v>
      </c>
      <c r="H22" s="1">
        <v>44391</v>
      </c>
      <c r="I22" s="1">
        <v>40972</v>
      </c>
    </row>
    <row r="23" spans="1:9" x14ac:dyDescent="0.35">
      <c r="A23">
        <v>21</v>
      </c>
      <c r="B23">
        <v>22</v>
      </c>
      <c r="C23" t="s">
        <v>69</v>
      </c>
      <c r="D23" t="s">
        <v>70</v>
      </c>
      <c r="E23" t="s">
        <v>26</v>
      </c>
      <c r="F23" t="s">
        <v>71</v>
      </c>
      <c r="G23" s="4">
        <v>155000</v>
      </c>
      <c r="H23" s="1">
        <v>44391</v>
      </c>
      <c r="I23" s="1">
        <v>40972</v>
      </c>
    </row>
    <row r="24" spans="1:9" x14ac:dyDescent="0.35">
      <c r="A24">
        <v>22</v>
      </c>
      <c r="B24">
        <v>23</v>
      </c>
      <c r="C24" t="s">
        <v>72</v>
      </c>
      <c r="D24" t="s">
        <v>73</v>
      </c>
      <c r="E24" t="s">
        <v>60</v>
      </c>
      <c r="F24" t="s">
        <v>74</v>
      </c>
      <c r="G24" s="4">
        <v>165000</v>
      </c>
      <c r="H24" s="1">
        <v>44391</v>
      </c>
      <c r="I24" s="1">
        <v>40972</v>
      </c>
    </row>
    <row r="25" spans="1:9" x14ac:dyDescent="0.35">
      <c r="A25">
        <v>23</v>
      </c>
      <c r="B25">
        <v>24</v>
      </c>
      <c r="C25" t="s">
        <v>69</v>
      </c>
      <c r="D25" t="s">
        <v>75</v>
      </c>
      <c r="E25" t="s">
        <v>26</v>
      </c>
      <c r="F25" t="s">
        <v>76</v>
      </c>
      <c r="G25" s="4">
        <v>175000</v>
      </c>
      <c r="H25" s="1">
        <v>44391</v>
      </c>
      <c r="I25" s="1">
        <v>40972</v>
      </c>
    </row>
    <row r="26" spans="1:9" x14ac:dyDescent="0.35">
      <c r="A26">
        <v>24</v>
      </c>
      <c r="B26">
        <v>25</v>
      </c>
      <c r="C26" t="s">
        <v>77</v>
      </c>
      <c r="D26" t="s">
        <v>78</v>
      </c>
      <c r="E26" t="s">
        <v>60</v>
      </c>
      <c r="F26" t="s">
        <v>79</v>
      </c>
      <c r="G26" s="4">
        <v>185000</v>
      </c>
      <c r="H26" s="1">
        <v>44391</v>
      </c>
      <c r="I26" s="1">
        <v>40972</v>
      </c>
    </row>
    <row r="27" spans="1:9" x14ac:dyDescent="0.35">
      <c r="A27">
        <v>25</v>
      </c>
      <c r="B27">
        <v>26</v>
      </c>
      <c r="C27" t="s">
        <v>80</v>
      </c>
      <c r="D27" t="s">
        <v>81</v>
      </c>
      <c r="E27" t="s">
        <v>60</v>
      </c>
      <c r="F27" t="s">
        <v>38</v>
      </c>
      <c r="G27" s="4">
        <v>195000</v>
      </c>
      <c r="H27" s="1">
        <v>44391</v>
      </c>
      <c r="I27" s="1">
        <v>40972</v>
      </c>
    </row>
    <row r="28" spans="1:9" x14ac:dyDescent="0.35">
      <c r="A28">
        <v>26</v>
      </c>
      <c r="B28">
        <v>27</v>
      </c>
      <c r="C28" t="s">
        <v>82</v>
      </c>
      <c r="D28" t="s">
        <v>83</v>
      </c>
      <c r="E28" t="s">
        <v>60</v>
      </c>
      <c r="F28" t="s">
        <v>84</v>
      </c>
      <c r="G28" s="4">
        <v>205000</v>
      </c>
      <c r="H28" s="1">
        <v>44391</v>
      </c>
      <c r="I28" s="1">
        <v>40972</v>
      </c>
    </row>
    <row r="29" spans="1:9" x14ac:dyDescent="0.35">
      <c r="A29">
        <v>27</v>
      </c>
      <c r="B29">
        <v>28</v>
      </c>
      <c r="C29" t="s">
        <v>85</v>
      </c>
      <c r="D29" t="s">
        <v>86</v>
      </c>
      <c r="E29" t="s">
        <v>26</v>
      </c>
      <c r="F29" t="s">
        <v>87</v>
      </c>
      <c r="G29" s="4">
        <v>225000</v>
      </c>
      <c r="H29" s="1">
        <v>44391</v>
      </c>
      <c r="I29" s="1">
        <v>40972</v>
      </c>
    </row>
    <row r="30" spans="1:9" x14ac:dyDescent="0.35">
      <c r="A30">
        <v>27</v>
      </c>
      <c r="B30">
        <v>28</v>
      </c>
      <c r="C30" t="s">
        <v>85</v>
      </c>
      <c r="D30" t="s">
        <v>86</v>
      </c>
      <c r="E30" t="s">
        <v>133</v>
      </c>
      <c r="F30" t="s">
        <v>87</v>
      </c>
      <c r="G30" s="4">
        <v>225000</v>
      </c>
      <c r="H30" s="1">
        <v>44391</v>
      </c>
      <c r="I30" s="1">
        <v>40972</v>
      </c>
    </row>
    <row r="31" spans="1:9" x14ac:dyDescent="0.35">
      <c r="A31">
        <v>28</v>
      </c>
      <c r="B31">
        <v>29</v>
      </c>
      <c r="C31" t="s">
        <v>88</v>
      </c>
      <c r="D31" t="s">
        <v>89</v>
      </c>
      <c r="E31" t="s">
        <v>60</v>
      </c>
      <c r="F31" t="s">
        <v>90</v>
      </c>
      <c r="G31" s="4">
        <v>235000</v>
      </c>
      <c r="H31" s="1">
        <v>44391</v>
      </c>
      <c r="I31" s="1">
        <v>40972</v>
      </c>
    </row>
    <row r="32" spans="1:9" x14ac:dyDescent="0.35">
      <c r="A32">
        <v>29</v>
      </c>
      <c r="B32">
        <v>30</v>
      </c>
      <c r="C32" t="s">
        <v>90</v>
      </c>
      <c r="D32" t="s">
        <v>91</v>
      </c>
      <c r="E32" t="s">
        <v>60</v>
      </c>
      <c r="F32" t="s">
        <v>38</v>
      </c>
      <c r="G32" s="4">
        <v>245000</v>
      </c>
      <c r="H32" s="1">
        <v>44391</v>
      </c>
      <c r="I32" s="1">
        <v>40972</v>
      </c>
    </row>
    <row r="33" spans="1:9" x14ac:dyDescent="0.35">
      <c r="A33">
        <v>30</v>
      </c>
      <c r="B33">
        <v>31</v>
      </c>
      <c r="C33" t="s">
        <v>92</v>
      </c>
      <c r="D33" t="s">
        <v>93</v>
      </c>
      <c r="E33" t="s">
        <v>60</v>
      </c>
      <c r="F33" t="s">
        <v>94</v>
      </c>
      <c r="G33" s="4">
        <v>255000</v>
      </c>
      <c r="H33" s="1">
        <v>44391</v>
      </c>
      <c r="I33" s="1">
        <v>40972</v>
      </c>
    </row>
    <row r="34" spans="1:9" x14ac:dyDescent="0.35">
      <c r="A34">
        <v>31</v>
      </c>
      <c r="B34">
        <v>32</v>
      </c>
      <c r="C34" t="s">
        <v>95</v>
      </c>
      <c r="D34" t="s">
        <v>96</v>
      </c>
      <c r="E34" t="s">
        <v>26</v>
      </c>
      <c r="F34" t="s">
        <v>97</v>
      </c>
      <c r="G34" s="4">
        <v>265000</v>
      </c>
      <c r="H34" s="1">
        <v>44391</v>
      </c>
      <c r="I34" s="1">
        <v>40972</v>
      </c>
    </row>
    <row r="35" spans="1:9" x14ac:dyDescent="0.35">
      <c r="A35">
        <v>32</v>
      </c>
      <c r="B35">
        <v>33</v>
      </c>
      <c r="C35" t="s">
        <v>98</v>
      </c>
      <c r="D35" t="s">
        <v>99</v>
      </c>
      <c r="E35" t="s">
        <v>26</v>
      </c>
      <c r="F35" t="s">
        <v>38</v>
      </c>
      <c r="G35" s="4">
        <v>275000</v>
      </c>
      <c r="H35" s="1">
        <v>44391</v>
      </c>
      <c r="I35" s="1">
        <v>40972</v>
      </c>
    </row>
    <row r="36" spans="1:9" x14ac:dyDescent="0.35">
      <c r="A36">
        <v>33</v>
      </c>
      <c r="B36">
        <v>34</v>
      </c>
      <c r="C36" t="s">
        <v>100</v>
      </c>
      <c r="D36" t="s">
        <v>101</v>
      </c>
      <c r="E36" t="s">
        <v>60</v>
      </c>
      <c r="F36" t="s">
        <v>102</v>
      </c>
      <c r="G36" s="4">
        <v>285000</v>
      </c>
      <c r="H36" s="1">
        <v>44391</v>
      </c>
      <c r="I36" s="1">
        <v>40972</v>
      </c>
    </row>
    <row r="37" spans="1:9" x14ac:dyDescent="0.35">
      <c r="A37">
        <v>34</v>
      </c>
      <c r="B37">
        <v>35</v>
      </c>
      <c r="C37" t="s">
        <v>103</v>
      </c>
      <c r="D37" t="s">
        <v>104</v>
      </c>
      <c r="E37" t="s">
        <v>26</v>
      </c>
      <c r="F37" t="s">
        <v>105</v>
      </c>
      <c r="G37" s="4">
        <v>295000</v>
      </c>
      <c r="H37" s="1">
        <v>44391</v>
      </c>
      <c r="I37" s="1">
        <v>40972</v>
      </c>
    </row>
    <row r="38" spans="1:9" x14ac:dyDescent="0.35">
      <c r="A38">
        <v>35</v>
      </c>
      <c r="B38">
        <v>36</v>
      </c>
      <c r="C38" t="s">
        <v>105</v>
      </c>
      <c r="D38" t="s">
        <v>106</v>
      </c>
      <c r="E38" t="s">
        <v>26</v>
      </c>
      <c r="F38" t="s">
        <v>38</v>
      </c>
      <c r="G38" s="4">
        <v>305000</v>
      </c>
      <c r="H38" s="1">
        <v>44391</v>
      </c>
      <c r="I38" s="1">
        <v>40972</v>
      </c>
    </row>
    <row r="39" spans="1:9" x14ac:dyDescent="0.35">
      <c r="A39">
        <v>36</v>
      </c>
      <c r="B39">
        <v>37</v>
      </c>
      <c r="C39" t="s">
        <v>102</v>
      </c>
      <c r="D39" t="s">
        <v>107</v>
      </c>
      <c r="E39" t="s">
        <v>60</v>
      </c>
      <c r="F39" t="s">
        <v>108</v>
      </c>
      <c r="G39" s="4">
        <v>315000</v>
      </c>
      <c r="H39" s="1">
        <v>44391</v>
      </c>
      <c r="I39" s="1">
        <v>40972</v>
      </c>
    </row>
    <row r="40" spans="1:9" x14ac:dyDescent="0.35">
      <c r="A40">
        <v>37</v>
      </c>
      <c r="B40">
        <v>38</v>
      </c>
      <c r="C40" t="s">
        <v>109</v>
      </c>
      <c r="D40" t="s">
        <v>110</v>
      </c>
      <c r="E40" t="s">
        <v>60</v>
      </c>
      <c r="F40" t="s">
        <v>38</v>
      </c>
      <c r="G40" s="4">
        <v>325000</v>
      </c>
      <c r="H40" s="1">
        <v>44391</v>
      </c>
      <c r="I40" s="1">
        <v>40972</v>
      </c>
    </row>
    <row r="41" spans="1:9" x14ac:dyDescent="0.35">
      <c r="A41">
        <v>38</v>
      </c>
      <c r="B41">
        <v>39</v>
      </c>
      <c r="C41" t="s">
        <v>111</v>
      </c>
      <c r="D41" t="s">
        <v>112</v>
      </c>
      <c r="E41" t="s">
        <v>26</v>
      </c>
      <c r="F41" t="s">
        <v>113</v>
      </c>
      <c r="G41" s="4">
        <v>335000</v>
      </c>
      <c r="H41" s="1">
        <v>44391</v>
      </c>
      <c r="I41" s="1">
        <v>40972</v>
      </c>
    </row>
    <row r="42" spans="1:9" x14ac:dyDescent="0.35">
      <c r="A42">
        <v>39</v>
      </c>
      <c r="B42">
        <v>40</v>
      </c>
      <c r="C42" t="s">
        <v>114</v>
      </c>
      <c r="D42" t="s">
        <v>115</v>
      </c>
      <c r="E42" t="s">
        <v>60</v>
      </c>
      <c r="F42" t="s">
        <v>116</v>
      </c>
      <c r="G42" s="4">
        <v>345000</v>
      </c>
      <c r="H42" s="1">
        <v>44391</v>
      </c>
      <c r="I42" s="1">
        <v>40972</v>
      </c>
    </row>
    <row r="43" spans="1:9" x14ac:dyDescent="0.35">
      <c r="A43">
        <v>40</v>
      </c>
      <c r="B43">
        <v>41</v>
      </c>
      <c r="C43" t="s">
        <v>116</v>
      </c>
      <c r="D43" t="s">
        <v>117</v>
      </c>
      <c r="E43" t="s">
        <v>60</v>
      </c>
      <c r="F43" t="s">
        <v>118</v>
      </c>
      <c r="G43" s="4">
        <v>355000</v>
      </c>
      <c r="H43" s="1">
        <v>44391</v>
      </c>
      <c r="I43" s="1">
        <v>40972</v>
      </c>
    </row>
    <row r="44" spans="1:9" x14ac:dyDescent="0.35">
      <c r="A44">
        <v>41</v>
      </c>
      <c r="B44">
        <v>42</v>
      </c>
      <c r="C44" t="s">
        <v>119</v>
      </c>
      <c r="D44" t="s">
        <v>120</v>
      </c>
      <c r="E44" t="s">
        <v>26</v>
      </c>
      <c r="F44" t="s">
        <v>121</v>
      </c>
      <c r="G44" s="4">
        <v>365000</v>
      </c>
      <c r="H44" s="1">
        <v>44391</v>
      </c>
      <c r="I44" s="1">
        <v>40972</v>
      </c>
    </row>
    <row r="45" spans="1:9" x14ac:dyDescent="0.35">
      <c r="A45">
        <v>42</v>
      </c>
      <c r="B45">
        <v>43</v>
      </c>
      <c r="C45" t="s">
        <v>122</v>
      </c>
      <c r="D45" t="s">
        <v>123</v>
      </c>
      <c r="E45" t="s">
        <v>60</v>
      </c>
      <c r="F45" t="s">
        <v>124</v>
      </c>
      <c r="G45" s="4">
        <v>375000</v>
      </c>
      <c r="H45" s="1">
        <v>44391</v>
      </c>
      <c r="I45" s="1">
        <v>40972</v>
      </c>
    </row>
    <row r="46" spans="1:9" x14ac:dyDescent="0.35">
      <c r="A46">
        <v>43</v>
      </c>
      <c r="B46">
        <v>44</v>
      </c>
      <c r="C46" t="s">
        <v>125</v>
      </c>
      <c r="D46" t="s">
        <v>126</v>
      </c>
      <c r="E46" t="s">
        <v>26</v>
      </c>
      <c r="F46" t="s">
        <v>127</v>
      </c>
      <c r="G46" s="4">
        <v>395000</v>
      </c>
      <c r="H46" s="2">
        <v>44391</v>
      </c>
      <c r="I46" s="2">
        <v>43862</v>
      </c>
    </row>
    <row r="47" spans="1:9" x14ac:dyDescent="0.35">
      <c r="A47">
        <v>44</v>
      </c>
      <c r="B47">
        <v>45</v>
      </c>
      <c r="C47" t="s">
        <v>128</v>
      </c>
      <c r="D47" t="s">
        <v>129</v>
      </c>
      <c r="E47" t="s">
        <v>132</v>
      </c>
      <c r="F47" t="s">
        <v>130</v>
      </c>
      <c r="G47" s="4">
        <v>405000</v>
      </c>
      <c r="H47" s="2">
        <v>44391</v>
      </c>
      <c r="I47" s="2">
        <v>43862</v>
      </c>
    </row>
    <row r="48" spans="1:9" x14ac:dyDescent="0.35">
      <c r="G48"/>
    </row>
  </sheetData>
  <dataConsolidate/>
  <phoneticPr fontId="18" type="noConversion"/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27B82-E1BA-487F-8B81-29ABD9330DDE}">
  <dimension ref="A1:G47"/>
  <sheetViews>
    <sheetView tabSelected="1" workbookViewId="0">
      <selection sqref="A1:G1"/>
    </sheetView>
  </sheetViews>
  <sheetFormatPr defaultColWidth="23.54296875" defaultRowHeight="14.5" x14ac:dyDescent="0.35"/>
  <cols>
    <col min="5" max="5" width="23.54296875" style="6"/>
    <col min="6" max="7" width="23.54296875" style="1"/>
  </cols>
  <sheetData>
    <row r="1" spans="1:7" x14ac:dyDescent="0.35">
      <c r="A1" s="5" t="s">
        <v>0</v>
      </c>
      <c r="B1" s="5" t="s">
        <v>1</v>
      </c>
      <c r="C1" s="5" t="s">
        <v>3</v>
      </c>
      <c r="D1" s="5" t="s">
        <v>4</v>
      </c>
      <c r="E1" s="7" t="s">
        <v>134</v>
      </c>
      <c r="F1" s="8" t="s">
        <v>136</v>
      </c>
      <c r="G1" s="8" t="s">
        <v>135</v>
      </c>
    </row>
    <row r="2" spans="1:7" x14ac:dyDescent="0.35">
      <c r="A2">
        <v>1</v>
      </c>
      <c r="B2" t="s">
        <v>5</v>
      </c>
      <c r="C2" t="s">
        <v>131</v>
      </c>
      <c r="D2" t="s">
        <v>7</v>
      </c>
      <c r="E2" s="6">
        <v>5000</v>
      </c>
      <c r="F2" s="1">
        <v>44391</v>
      </c>
      <c r="G2" s="1">
        <v>40972</v>
      </c>
    </row>
    <row r="3" spans="1:7" x14ac:dyDescent="0.35">
      <c r="A3">
        <v>2</v>
      </c>
      <c r="B3" t="s">
        <v>7</v>
      </c>
      <c r="C3" t="s">
        <v>10</v>
      </c>
      <c r="D3" t="s">
        <v>11</v>
      </c>
      <c r="E3" s="6">
        <v>10000</v>
      </c>
      <c r="F3" s="1">
        <v>44391</v>
      </c>
      <c r="G3" s="1">
        <v>40972</v>
      </c>
    </row>
    <row r="4" spans="1:7" x14ac:dyDescent="0.35">
      <c r="A4">
        <v>3</v>
      </c>
      <c r="B4" t="s">
        <v>11</v>
      </c>
      <c r="C4" t="s">
        <v>13</v>
      </c>
      <c r="D4" t="s">
        <v>143</v>
      </c>
      <c r="E4" s="6">
        <v>15000</v>
      </c>
      <c r="F4" s="1">
        <v>44391</v>
      </c>
      <c r="G4" s="1">
        <v>40972</v>
      </c>
    </row>
    <row r="5" spans="1:7" x14ac:dyDescent="0.35">
      <c r="A5">
        <v>4</v>
      </c>
      <c r="B5" t="s">
        <v>15</v>
      </c>
      <c r="C5" t="s">
        <v>13</v>
      </c>
      <c r="D5" t="s">
        <v>144</v>
      </c>
      <c r="E5" s="6">
        <v>20000</v>
      </c>
      <c r="F5" s="1">
        <v>44391</v>
      </c>
      <c r="G5" s="1">
        <v>40972</v>
      </c>
    </row>
    <row r="6" spans="1:7" x14ac:dyDescent="0.35">
      <c r="A6">
        <v>5</v>
      </c>
      <c r="B6" t="s">
        <v>141</v>
      </c>
      <c r="C6" t="s">
        <v>13</v>
      </c>
      <c r="D6" t="s">
        <v>20</v>
      </c>
      <c r="E6" s="6">
        <v>25000</v>
      </c>
      <c r="F6" s="1">
        <v>44391</v>
      </c>
      <c r="G6" s="1">
        <v>40972</v>
      </c>
    </row>
    <row r="7" spans="1:7" x14ac:dyDescent="0.35">
      <c r="A7">
        <v>6</v>
      </c>
      <c r="B7" t="s">
        <v>21</v>
      </c>
      <c r="C7" t="s">
        <v>13</v>
      </c>
      <c r="D7" t="s">
        <v>23</v>
      </c>
      <c r="E7" s="6">
        <v>30000</v>
      </c>
      <c r="F7" s="1">
        <v>44391</v>
      </c>
      <c r="G7" s="1">
        <v>40972</v>
      </c>
    </row>
    <row r="8" spans="1:7" x14ac:dyDescent="0.35">
      <c r="A8">
        <v>7</v>
      </c>
      <c r="B8" t="s">
        <v>24</v>
      </c>
      <c r="C8" t="s">
        <v>26</v>
      </c>
      <c r="D8" t="s">
        <v>23</v>
      </c>
      <c r="E8" s="6">
        <v>35000</v>
      </c>
      <c r="F8" s="1">
        <v>44391</v>
      </c>
      <c r="G8" s="1">
        <v>40972</v>
      </c>
    </row>
    <row r="9" spans="1:7" x14ac:dyDescent="0.35">
      <c r="A9">
        <v>8</v>
      </c>
      <c r="B9" t="s">
        <v>28</v>
      </c>
      <c r="C9" t="s">
        <v>26</v>
      </c>
      <c r="D9" t="s">
        <v>30</v>
      </c>
      <c r="E9" s="6">
        <v>40000</v>
      </c>
      <c r="F9" s="1">
        <v>44391</v>
      </c>
      <c r="G9" s="1">
        <v>40972</v>
      </c>
    </row>
    <row r="10" spans="1:7" x14ac:dyDescent="0.35">
      <c r="A10">
        <v>9</v>
      </c>
      <c r="B10" t="s">
        <v>31</v>
      </c>
      <c r="C10" t="s">
        <v>33</v>
      </c>
      <c r="D10" t="s">
        <v>34</v>
      </c>
      <c r="E10" s="6">
        <v>45000</v>
      </c>
      <c r="F10" s="1">
        <v>44391</v>
      </c>
      <c r="G10" s="1">
        <v>40972</v>
      </c>
    </row>
    <row r="11" spans="1:7" x14ac:dyDescent="0.35">
      <c r="A11">
        <v>10</v>
      </c>
      <c r="B11" t="s">
        <v>34</v>
      </c>
      <c r="C11" t="s">
        <v>33</v>
      </c>
      <c r="D11" t="s">
        <v>38</v>
      </c>
      <c r="E11" s="6">
        <v>50000</v>
      </c>
      <c r="F11" s="1">
        <v>44391</v>
      </c>
      <c r="G11" s="1">
        <v>40972</v>
      </c>
    </row>
    <row r="12" spans="1:7" x14ac:dyDescent="0.35">
      <c r="A12">
        <v>11</v>
      </c>
      <c r="B12" t="s">
        <v>39</v>
      </c>
      <c r="C12" t="s">
        <v>26</v>
      </c>
      <c r="D12" t="s">
        <v>145</v>
      </c>
      <c r="E12" s="6">
        <v>55000</v>
      </c>
      <c r="F12" s="1">
        <v>44391</v>
      </c>
      <c r="G12" s="1">
        <v>40972</v>
      </c>
    </row>
    <row r="13" spans="1:7" x14ac:dyDescent="0.35">
      <c r="A13">
        <v>12</v>
      </c>
      <c r="B13" t="s">
        <v>42</v>
      </c>
      <c r="C13" t="s">
        <v>33</v>
      </c>
      <c r="D13" t="s">
        <v>45</v>
      </c>
      <c r="E13" s="6">
        <v>60000</v>
      </c>
      <c r="F13" s="1">
        <v>44391</v>
      </c>
      <c r="G13" s="1">
        <v>40972</v>
      </c>
    </row>
    <row r="14" spans="1:7" x14ac:dyDescent="0.35">
      <c r="A14">
        <v>13</v>
      </c>
      <c r="B14" t="s">
        <v>45</v>
      </c>
      <c r="C14" t="s">
        <v>33</v>
      </c>
      <c r="D14" t="s">
        <v>38</v>
      </c>
      <c r="E14" s="6">
        <v>65000</v>
      </c>
      <c r="F14" s="1">
        <v>44391</v>
      </c>
      <c r="G14" s="1">
        <v>40972</v>
      </c>
    </row>
    <row r="15" spans="1:7" x14ac:dyDescent="0.35">
      <c r="A15">
        <v>14</v>
      </c>
      <c r="B15" t="s">
        <v>47</v>
      </c>
      <c r="C15" t="s">
        <v>26</v>
      </c>
      <c r="D15" t="s">
        <v>49</v>
      </c>
      <c r="E15" s="6">
        <v>75000</v>
      </c>
      <c r="F15" s="1">
        <v>44391</v>
      </c>
      <c r="G15" s="1">
        <v>40972</v>
      </c>
    </row>
    <row r="16" spans="1:7" x14ac:dyDescent="0.35">
      <c r="A16">
        <v>15</v>
      </c>
      <c r="B16" t="s">
        <v>50</v>
      </c>
      <c r="C16" t="s">
        <v>26</v>
      </c>
      <c r="D16" t="s">
        <v>52</v>
      </c>
      <c r="E16" s="6">
        <v>85000</v>
      </c>
      <c r="F16" s="1">
        <v>44391</v>
      </c>
      <c r="G16" s="1">
        <v>40972</v>
      </c>
    </row>
    <row r="17" spans="1:7" x14ac:dyDescent="0.35">
      <c r="A17">
        <v>16</v>
      </c>
      <c r="B17" t="s">
        <v>53</v>
      </c>
      <c r="C17" t="s">
        <v>60</v>
      </c>
      <c r="D17" t="s">
        <v>55</v>
      </c>
      <c r="E17" s="6">
        <v>95000</v>
      </c>
      <c r="F17" s="1">
        <v>44391</v>
      </c>
      <c r="G17" s="1">
        <v>40972</v>
      </c>
    </row>
    <row r="18" spans="1:7" x14ac:dyDescent="0.35">
      <c r="A18">
        <v>17</v>
      </c>
      <c r="B18" t="s">
        <v>56</v>
      </c>
      <c r="C18" t="s">
        <v>26</v>
      </c>
      <c r="D18" t="s">
        <v>38</v>
      </c>
      <c r="E18" s="6">
        <v>105000</v>
      </c>
      <c r="F18" s="1">
        <v>44391</v>
      </c>
      <c r="G18" s="1">
        <v>40972</v>
      </c>
    </row>
    <row r="19" spans="1:7" x14ac:dyDescent="0.35">
      <c r="A19">
        <v>18</v>
      </c>
      <c r="B19" t="s">
        <v>58</v>
      </c>
      <c r="C19" t="s">
        <v>60</v>
      </c>
      <c r="D19" t="s">
        <v>61</v>
      </c>
      <c r="E19" s="6">
        <v>115000</v>
      </c>
      <c r="F19" s="1">
        <v>44391</v>
      </c>
      <c r="G19" s="1">
        <v>40972</v>
      </c>
    </row>
    <row r="20" spans="1:7" x14ac:dyDescent="0.35">
      <c r="A20">
        <v>19</v>
      </c>
      <c r="B20" t="s">
        <v>62</v>
      </c>
      <c r="C20" t="s">
        <v>60</v>
      </c>
      <c r="D20" t="s">
        <v>64</v>
      </c>
      <c r="E20" s="6">
        <v>125000</v>
      </c>
      <c r="F20" s="1">
        <v>44391</v>
      </c>
      <c r="G20" s="1">
        <v>40972</v>
      </c>
    </row>
    <row r="21" spans="1:7" x14ac:dyDescent="0.35">
      <c r="A21">
        <v>20</v>
      </c>
      <c r="B21" t="s">
        <v>65</v>
      </c>
      <c r="C21" t="s">
        <v>60</v>
      </c>
      <c r="D21" t="s">
        <v>67</v>
      </c>
      <c r="E21" s="6">
        <v>135000</v>
      </c>
      <c r="F21" s="1">
        <v>44391</v>
      </c>
      <c r="G21" s="1">
        <v>40972</v>
      </c>
    </row>
    <row r="22" spans="1:7" x14ac:dyDescent="0.35">
      <c r="A22">
        <v>21</v>
      </c>
      <c r="B22" t="s">
        <v>67</v>
      </c>
      <c r="C22" t="s">
        <v>60</v>
      </c>
      <c r="D22" t="s">
        <v>38</v>
      </c>
      <c r="E22" s="6">
        <v>145000</v>
      </c>
      <c r="F22" s="1">
        <v>44391</v>
      </c>
      <c r="G22" s="1">
        <v>40972</v>
      </c>
    </row>
    <row r="23" spans="1:7" x14ac:dyDescent="0.35">
      <c r="A23">
        <v>22</v>
      </c>
      <c r="B23" t="s">
        <v>69</v>
      </c>
      <c r="C23" t="s">
        <v>26</v>
      </c>
      <c r="D23" t="s">
        <v>71</v>
      </c>
      <c r="E23" s="6">
        <v>155000</v>
      </c>
      <c r="F23" s="1">
        <v>44391</v>
      </c>
      <c r="G23" s="1">
        <v>40972</v>
      </c>
    </row>
    <row r="24" spans="1:7" x14ac:dyDescent="0.35">
      <c r="A24">
        <v>23</v>
      </c>
      <c r="B24" t="s">
        <v>72</v>
      </c>
      <c r="C24" t="s">
        <v>60</v>
      </c>
      <c r="D24" t="s">
        <v>74</v>
      </c>
      <c r="E24" s="6">
        <v>165000</v>
      </c>
      <c r="F24" s="1">
        <v>44391</v>
      </c>
      <c r="G24" s="1">
        <v>40972</v>
      </c>
    </row>
    <row r="25" spans="1:7" x14ac:dyDescent="0.35">
      <c r="A25">
        <v>24</v>
      </c>
      <c r="B25" t="s">
        <v>69</v>
      </c>
      <c r="C25" t="s">
        <v>26</v>
      </c>
      <c r="D25" t="s">
        <v>76</v>
      </c>
      <c r="E25" s="6">
        <v>175000</v>
      </c>
      <c r="F25" s="1">
        <v>44391</v>
      </c>
      <c r="G25" s="1">
        <v>40972</v>
      </c>
    </row>
    <row r="26" spans="1:7" x14ac:dyDescent="0.35">
      <c r="A26">
        <v>25</v>
      </c>
      <c r="B26" t="s">
        <v>142</v>
      </c>
      <c r="C26" t="s">
        <v>60</v>
      </c>
      <c r="D26" t="s">
        <v>79</v>
      </c>
      <c r="E26" s="6">
        <v>185000</v>
      </c>
      <c r="F26" s="1">
        <v>44391</v>
      </c>
      <c r="G26" s="1">
        <v>40972</v>
      </c>
    </row>
    <row r="27" spans="1:7" x14ac:dyDescent="0.35">
      <c r="A27">
        <v>26</v>
      </c>
      <c r="B27" t="s">
        <v>80</v>
      </c>
      <c r="C27" t="s">
        <v>60</v>
      </c>
      <c r="D27" t="s">
        <v>38</v>
      </c>
      <c r="E27" s="6">
        <v>195000</v>
      </c>
      <c r="F27" s="1">
        <v>44391</v>
      </c>
      <c r="G27" s="1">
        <v>40972</v>
      </c>
    </row>
    <row r="28" spans="1:7" x14ac:dyDescent="0.35">
      <c r="A28">
        <v>27</v>
      </c>
      <c r="B28" t="s">
        <v>82</v>
      </c>
      <c r="C28" t="s">
        <v>60</v>
      </c>
      <c r="D28" t="s">
        <v>84</v>
      </c>
      <c r="E28" s="6">
        <v>205000</v>
      </c>
      <c r="F28" s="1">
        <v>44391</v>
      </c>
      <c r="G28" s="1">
        <v>40972</v>
      </c>
    </row>
    <row r="29" spans="1:7" x14ac:dyDescent="0.35">
      <c r="A29">
        <v>28</v>
      </c>
      <c r="B29" t="s">
        <v>85</v>
      </c>
      <c r="C29" t="s">
        <v>26</v>
      </c>
      <c r="D29" t="s">
        <v>87</v>
      </c>
      <c r="E29" s="6">
        <v>225000</v>
      </c>
      <c r="F29" s="1">
        <v>44391</v>
      </c>
      <c r="G29" s="1">
        <v>40972</v>
      </c>
    </row>
    <row r="30" spans="1:7" x14ac:dyDescent="0.35">
      <c r="A30">
        <v>28</v>
      </c>
      <c r="B30" t="s">
        <v>85</v>
      </c>
      <c r="C30" t="s">
        <v>133</v>
      </c>
      <c r="D30" t="s">
        <v>87</v>
      </c>
      <c r="E30" s="6">
        <v>225000</v>
      </c>
      <c r="F30" s="1">
        <v>44391</v>
      </c>
      <c r="G30" s="1">
        <v>40972</v>
      </c>
    </row>
    <row r="31" spans="1:7" x14ac:dyDescent="0.35">
      <c r="A31">
        <v>29</v>
      </c>
      <c r="B31" t="s">
        <v>88</v>
      </c>
      <c r="C31" t="s">
        <v>60</v>
      </c>
      <c r="D31" t="s">
        <v>90</v>
      </c>
      <c r="E31" s="6">
        <v>235000</v>
      </c>
      <c r="F31" s="1">
        <v>44391</v>
      </c>
      <c r="G31" s="1">
        <v>40972</v>
      </c>
    </row>
    <row r="32" spans="1:7" x14ac:dyDescent="0.35">
      <c r="A32">
        <v>30</v>
      </c>
      <c r="B32" t="s">
        <v>90</v>
      </c>
      <c r="C32" t="s">
        <v>60</v>
      </c>
      <c r="D32" t="s">
        <v>38</v>
      </c>
      <c r="E32" s="6">
        <v>245000</v>
      </c>
      <c r="F32" s="1">
        <v>44391</v>
      </c>
      <c r="G32" s="1">
        <v>40972</v>
      </c>
    </row>
    <row r="33" spans="1:7" x14ac:dyDescent="0.35">
      <c r="A33">
        <v>31</v>
      </c>
      <c r="B33" t="s">
        <v>92</v>
      </c>
      <c r="C33" t="s">
        <v>60</v>
      </c>
      <c r="D33" t="s">
        <v>94</v>
      </c>
      <c r="E33" s="6">
        <v>255000</v>
      </c>
      <c r="F33" s="1">
        <v>44391</v>
      </c>
      <c r="G33" s="1">
        <v>40972</v>
      </c>
    </row>
    <row r="34" spans="1:7" x14ac:dyDescent="0.35">
      <c r="A34">
        <v>32</v>
      </c>
      <c r="B34" t="s">
        <v>95</v>
      </c>
      <c r="C34" t="s">
        <v>26</v>
      </c>
      <c r="D34" t="s">
        <v>97</v>
      </c>
      <c r="E34" s="6">
        <v>265000</v>
      </c>
      <c r="F34" s="1">
        <v>44391</v>
      </c>
      <c r="G34" s="1">
        <v>40972</v>
      </c>
    </row>
    <row r="35" spans="1:7" x14ac:dyDescent="0.35">
      <c r="A35">
        <v>33</v>
      </c>
      <c r="B35" t="s">
        <v>98</v>
      </c>
      <c r="C35" t="s">
        <v>26</v>
      </c>
      <c r="D35" t="s">
        <v>38</v>
      </c>
      <c r="E35" s="6">
        <v>275000</v>
      </c>
      <c r="F35" s="1">
        <v>44391</v>
      </c>
      <c r="G35" s="1">
        <v>40972</v>
      </c>
    </row>
    <row r="36" spans="1:7" x14ac:dyDescent="0.35">
      <c r="A36">
        <v>34</v>
      </c>
      <c r="B36" t="s">
        <v>100</v>
      </c>
      <c r="C36" t="s">
        <v>60</v>
      </c>
      <c r="D36" t="s">
        <v>102</v>
      </c>
      <c r="E36" s="6">
        <v>285000</v>
      </c>
      <c r="F36" s="1">
        <v>44391</v>
      </c>
      <c r="G36" s="1">
        <v>40972</v>
      </c>
    </row>
    <row r="37" spans="1:7" x14ac:dyDescent="0.35">
      <c r="A37">
        <v>35</v>
      </c>
      <c r="B37" t="s">
        <v>103</v>
      </c>
      <c r="C37" t="s">
        <v>26</v>
      </c>
      <c r="D37" t="s">
        <v>105</v>
      </c>
      <c r="E37" s="6">
        <v>295000</v>
      </c>
      <c r="F37" s="1">
        <v>44391</v>
      </c>
      <c r="G37" s="1">
        <v>40972</v>
      </c>
    </row>
    <row r="38" spans="1:7" x14ac:dyDescent="0.35">
      <c r="A38">
        <v>36</v>
      </c>
      <c r="B38" t="s">
        <v>105</v>
      </c>
      <c r="C38" t="s">
        <v>26</v>
      </c>
      <c r="D38" t="s">
        <v>38</v>
      </c>
      <c r="E38" s="6">
        <v>305000</v>
      </c>
      <c r="F38" s="1">
        <v>44391</v>
      </c>
      <c r="G38" s="1">
        <v>40972</v>
      </c>
    </row>
    <row r="39" spans="1:7" x14ac:dyDescent="0.35">
      <c r="A39">
        <v>37</v>
      </c>
      <c r="B39" t="s">
        <v>102</v>
      </c>
      <c r="C39" t="s">
        <v>60</v>
      </c>
      <c r="D39" t="s">
        <v>108</v>
      </c>
      <c r="E39" s="6">
        <v>315000</v>
      </c>
      <c r="F39" s="1">
        <v>44391</v>
      </c>
      <c r="G39" s="1">
        <v>40972</v>
      </c>
    </row>
    <row r="40" spans="1:7" x14ac:dyDescent="0.35">
      <c r="A40">
        <v>38</v>
      </c>
      <c r="B40" t="s">
        <v>109</v>
      </c>
      <c r="C40" t="s">
        <v>60</v>
      </c>
      <c r="D40" t="s">
        <v>38</v>
      </c>
      <c r="E40" s="6">
        <v>325000</v>
      </c>
      <c r="F40" s="1">
        <v>44391</v>
      </c>
      <c r="G40" s="1">
        <v>40972</v>
      </c>
    </row>
    <row r="41" spans="1:7" x14ac:dyDescent="0.35">
      <c r="A41">
        <v>39</v>
      </c>
      <c r="B41" t="s">
        <v>111</v>
      </c>
      <c r="C41" t="s">
        <v>26</v>
      </c>
      <c r="D41" t="s">
        <v>113</v>
      </c>
      <c r="E41" s="6">
        <v>335000</v>
      </c>
      <c r="F41" s="1">
        <v>44391</v>
      </c>
      <c r="G41" s="1">
        <v>40972</v>
      </c>
    </row>
    <row r="42" spans="1:7" x14ac:dyDescent="0.35">
      <c r="A42">
        <v>40</v>
      </c>
      <c r="B42" t="s">
        <v>114</v>
      </c>
      <c r="C42" t="s">
        <v>60</v>
      </c>
      <c r="D42" t="s">
        <v>116</v>
      </c>
      <c r="E42" s="6">
        <v>345000</v>
      </c>
      <c r="F42" s="1">
        <v>44391</v>
      </c>
      <c r="G42" s="1">
        <v>40972</v>
      </c>
    </row>
    <row r="43" spans="1:7" x14ac:dyDescent="0.35">
      <c r="A43">
        <v>41</v>
      </c>
      <c r="B43" t="s">
        <v>116</v>
      </c>
      <c r="C43" t="s">
        <v>60</v>
      </c>
      <c r="D43" t="s">
        <v>118</v>
      </c>
      <c r="E43" s="6">
        <v>355000</v>
      </c>
      <c r="F43" s="1">
        <v>44391</v>
      </c>
      <c r="G43" s="1">
        <v>40972</v>
      </c>
    </row>
    <row r="44" spans="1:7" x14ac:dyDescent="0.35">
      <c r="A44">
        <v>42</v>
      </c>
      <c r="B44" t="s">
        <v>119</v>
      </c>
      <c r="C44" t="s">
        <v>26</v>
      </c>
      <c r="D44" t="s">
        <v>121</v>
      </c>
      <c r="E44" s="6">
        <v>365000</v>
      </c>
      <c r="F44" s="1">
        <v>44391</v>
      </c>
      <c r="G44" s="1">
        <v>40972</v>
      </c>
    </row>
    <row r="45" spans="1:7" x14ac:dyDescent="0.35">
      <c r="A45">
        <v>43</v>
      </c>
      <c r="B45" t="s">
        <v>122</v>
      </c>
      <c r="C45" t="s">
        <v>60</v>
      </c>
      <c r="D45" t="s">
        <v>124</v>
      </c>
      <c r="E45" s="6">
        <v>375000</v>
      </c>
      <c r="F45" s="1">
        <v>44391</v>
      </c>
      <c r="G45" s="1">
        <v>40972</v>
      </c>
    </row>
    <row r="46" spans="1:7" x14ac:dyDescent="0.35">
      <c r="A46">
        <v>44</v>
      </c>
      <c r="B46" t="s">
        <v>125</v>
      </c>
      <c r="C46" t="s">
        <v>26</v>
      </c>
      <c r="D46" t="s">
        <v>127</v>
      </c>
      <c r="E46" s="6">
        <v>395000</v>
      </c>
      <c r="F46" s="1">
        <v>44391</v>
      </c>
      <c r="G46" s="1">
        <v>43862</v>
      </c>
    </row>
    <row r="47" spans="1:7" x14ac:dyDescent="0.35">
      <c r="A47">
        <v>45</v>
      </c>
      <c r="B47" t="s">
        <v>128</v>
      </c>
      <c r="C47" t="s">
        <v>60</v>
      </c>
      <c r="D47" t="s">
        <v>130</v>
      </c>
      <c r="E47" s="6">
        <v>405000</v>
      </c>
      <c r="F47" s="1">
        <v>44391</v>
      </c>
      <c r="G47" s="1">
        <v>43862</v>
      </c>
    </row>
  </sheetData>
  <dataConsolidate/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5EA9E-4CF2-4E13-9925-BF2770AE0644}">
  <dimension ref="A1:D47"/>
  <sheetViews>
    <sheetView workbookViewId="0">
      <selection activeCell="F15" sqref="F15"/>
    </sheetView>
  </sheetViews>
  <sheetFormatPr defaultRowHeight="14.5" x14ac:dyDescent="0.35"/>
  <cols>
    <col min="1" max="1" width="25.90625" customWidth="1"/>
    <col min="2" max="2" width="24.08984375" customWidth="1"/>
    <col min="3" max="3" width="24.54296875" customWidth="1"/>
    <col min="4" max="4" width="17.54296875" customWidth="1"/>
  </cols>
  <sheetData>
    <row r="1" spans="1:4" x14ac:dyDescent="0.35">
      <c r="A1" s="5" t="s">
        <v>137</v>
      </c>
      <c r="B1" s="5" t="s">
        <v>138</v>
      </c>
      <c r="C1" s="5" t="s">
        <v>139</v>
      </c>
      <c r="D1" s="5" t="s">
        <v>140</v>
      </c>
    </row>
    <row r="2" spans="1:4" x14ac:dyDescent="0.35">
      <c r="A2" t="str">
        <f>UPPER('US_Presidents Database'!C2)</f>
        <v>GEORGE WASHINGTON</v>
      </c>
      <c r="B2" t="str">
        <f>LOWER('US_Presidents Database'!C2)</f>
        <v>george washington</v>
      </c>
      <c r="C2" t="str">
        <f>PROPER('US_Presidents Database'!C2)</f>
        <v>George Washington</v>
      </c>
      <c r="D2" t="str">
        <f>TRIM('US_Presidents Database'!F2)</f>
        <v>John Adams</v>
      </c>
    </row>
    <row r="3" spans="1:4" x14ac:dyDescent="0.35">
      <c r="A3" t="str">
        <f>UPPER('US_Presidents Database'!C3)</f>
        <v>JOHN ADAMS</v>
      </c>
      <c r="B3" t="str">
        <f>LOWER('US_Presidents Database'!C3)</f>
        <v>john adams</v>
      </c>
      <c r="C3" t="str">
        <f>PROPER('US_Presidents Database'!C3)</f>
        <v>John Adams</v>
      </c>
      <c r="D3" t="str">
        <f>TRIM('US_Presidents Database'!F3)</f>
        <v>Thomas Jefferson</v>
      </c>
    </row>
    <row r="4" spans="1:4" x14ac:dyDescent="0.35">
      <c r="A4" t="str">
        <f>UPPER('US_Presidents Database'!C4)</f>
        <v>THOMAS JEFFERSON</v>
      </c>
      <c r="B4" t="str">
        <f>LOWER('US_Presidents Database'!C4)</f>
        <v>thomas jefferson</v>
      </c>
      <c r="C4" t="str">
        <f>PROPER('US_Presidents Database'!C4)</f>
        <v>Thomas Jefferson</v>
      </c>
      <c r="D4" t="str">
        <f>TRIM('US_Presidents Database'!F4)</f>
        <v>Aaron Burr</v>
      </c>
    </row>
    <row r="5" spans="1:4" x14ac:dyDescent="0.35">
      <c r="A5" t="str">
        <f>UPPER('US_Presidents Database'!C5)</f>
        <v>JAMES MADISON</v>
      </c>
      <c r="B5" t="str">
        <f>LOWER('US_Presidents Database'!C5)</f>
        <v>james madison</v>
      </c>
      <c r="C5" t="str">
        <f>PROPER('US_Presidents Database'!C5)</f>
        <v>James Madison</v>
      </c>
      <c r="D5" t="str">
        <f>TRIM('US_Presidents Database'!F5)</f>
        <v>George Clinton</v>
      </c>
    </row>
    <row r="6" spans="1:4" x14ac:dyDescent="0.35">
      <c r="A6" t="str">
        <f>UPPER('US_Presidents Database'!C6)</f>
        <v>JAMES MONROE</v>
      </c>
      <c r="B6" t="str">
        <f>LOWER('US_Presidents Database'!C6)</f>
        <v>james monroe</v>
      </c>
      <c r="C6" t="str">
        <f>PROPER('US_Presidents Database'!C6)</f>
        <v>James Monroe</v>
      </c>
      <c r="D6" t="str">
        <f>TRIM('US_Presidents Database'!F6)</f>
        <v>Daniel D. Tompkins</v>
      </c>
    </row>
    <row r="7" spans="1:4" x14ac:dyDescent="0.35">
      <c r="A7" t="str">
        <f>UPPER('US_Presidents Database'!C7)</f>
        <v>JOHN QUINCY ADAMS</v>
      </c>
      <c r="B7" t="str">
        <f>LOWER('US_Presidents Database'!C7)</f>
        <v>john quincy adams</v>
      </c>
      <c r="C7" t="str">
        <f>PROPER('US_Presidents Database'!C7)</f>
        <v>John Quincy Adams</v>
      </c>
      <c r="D7" t="str">
        <f>TRIM('US_Presidents Database'!F7)</f>
        <v>John C. Calhoun</v>
      </c>
    </row>
    <row r="8" spans="1:4" x14ac:dyDescent="0.35">
      <c r="A8" t="str">
        <f>UPPER('US_Presidents Database'!C8)</f>
        <v>ANDREW JACKSON</v>
      </c>
      <c r="B8" t="str">
        <f>LOWER('US_Presidents Database'!C8)</f>
        <v>andrew jackson</v>
      </c>
      <c r="C8" t="str">
        <f>PROPER('US_Presidents Database'!C8)</f>
        <v>Andrew Jackson</v>
      </c>
      <c r="D8" t="str">
        <f>TRIM('US_Presidents Database'!F8)</f>
        <v>John C. Calhoun</v>
      </c>
    </row>
    <row r="9" spans="1:4" x14ac:dyDescent="0.35">
      <c r="A9" t="str">
        <f>UPPER('US_Presidents Database'!C9)</f>
        <v>MARTIN VAN BUREN</v>
      </c>
      <c r="B9" t="str">
        <f>LOWER('US_Presidents Database'!C9)</f>
        <v>martin van buren</v>
      </c>
      <c r="C9" t="str">
        <f>PROPER('US_Presidents Database'!C9)</f>
        <v>Martin Van Buren</v>
      </c>
      <c r="D9" t="str">
        <f>TRIM('US_Presidents Database'!F9)</f>
        <v>Richard Mentor Johnson</v>
      </c>
    </row>
    <row r="10" spans="1:4" x14ac:dyDescent="0.35">
      <c r="A10" t="str">
        <f>UPPER('US_Presidents Database'!C10)</f>
        <v>WILLIAM HENRY HARRISON</v>
      </c>
      <c r="B10" t="str">
        <f>LOWER('US_Presidents Database'!C10)</f>
        <v>william henry harrison</v>
      </c>
      <c r="C10" t="str">
        <f>PROPER('US_Presidents Database'!C10)</f>
        <v>William Henry Harrison</v>
      </c>
      <c r="D10" t="str">
        <f>TRIM('US_Presidents Database'!F10)</f>
        <v>John Tyler</v>
      </c>
    </row>
    <row r="11" spans="1:4" x14ac:dyDescent="0.35">
      <c r="A11" t="str">
        <f>UPPER('US_Presidents Database'!C11)</f>
        <v>JOHN TYLER</v>
      </c>
      <c r="B11" t="str">
        <f>LOWER('US_Presidents Database'!C11)</f>
        <v>john tyler</v>
      </c>
      <c r="C11" t="str">
        <f>PROPER('US_Presidents Database'!C11)</f>
        <v>John Tyler</v>
      </c>
      <c r="D11" t="str">
        <f>TRIM('US_Presidents Database'!F11)</f>
        <v>Office vacant</v>
      </c>
    </row>
    <row r="12" spans="1:4" x14ac:dyDescent="0.35">
      <c r="A12" t="str">
        <f>UPPER('US_Presidents Database'!C12)</f>
        <v>JAMES K. POLK</v>
      </c>
      <c r="B12" t="str">
        <f>LOWER('US_Presidents Database'!C12)</f>
        <v>james k. polk</v>
      </c>
      <c r="C12" t="str">
        <f>PROPER('US_Presidents Database'!C12)</f>
        <v>James K. Polk</v>
      </c>
      <c r="D12" t="str">
        <f>TRIM('US_Presidents Database'!F12)</f>
        <v>George M. Dallas</v>
      </c>
    </row>
    <row r="13" spans="1:4" x14ac:dyDescent="0.35">
      <c r="A13" t="str">
        <f>UPPER('US_Presidents Database'!C13)</f>
        <v>ZACHARY TAYLOR</v>
      </c>
      <c r="B13" t="str">
        <f>LOWER('US_Presidents Database'!C13)</f>
        <v>zachary taylor</v>
      </c>
      <c r="C13" t="str">
        <f>PROPER('US_Presidents Database'!C13)</f>
        <v>Zachary Taylor</v>
      </c>
      <c r="D13" t="str">
        <f>TRIM('US_Presidents Database'!F13)</f>
        <v>Millard Fillmore</v>
      </c>
    </row>
    <row r="14" spans="1:4" x14ac:dyDescent="0.35">
      <c r="A14" t="str">
        <f>UPPER('US_Presidents Database'!C14)</f>
        <v>MILLARD FILLMORE</v>
      </c>
      <c r="B14" t="str">
        <f>LOWER('US_Presidents Database'!C14)</f>
        <v>millard fillmore</v>
      </c>
      <c r="C14" t="str">
        <f>PROPER('US_Presidents Database'!C14)</f>
        <v>Millard Fillmore</v>
      </c>
      <c r="D14" t="str">
        <f>TRIM('US_Presidents Database'!F14)</f>
        <v>Office vacant</v>
      </c>
    </row>
    <row r="15" spans="1:4" x14ac:dyDescent="0.35">
      <c r="A15" t="str">
        <f>UPPER('US_Presidents Database'!C15)</f>
        <v>FRANKLIN PIERCE</v>
      </c>
      <c r="B15" t="str">
        <f>LOWER('US_Presidents Database'!C15)</f>
        <v>franklin pierce</v>
      </c>
      <c r="C15" t="str">
        <f>PROPER('US_Presidents Database'!C15)</f>
        <v>Franklin Pierce</v>
      </c>
      <c r="D15" t="str">
        <f>TRIM('US_Presidents Database'!F15)</f>
        <v>William R. King</v>
      </c>
    </row>
    <row r="16" spans="1:4" x14ac:dyDescent="0.35">
      <c r="A16" t="str">
        <f>UPPER('US_Presidents Database'!C16)</f>
        <v>JAMES BUCHANAN</v>
      </c>
      <c r="B16" t="str">
        <f>LOWER('US_Presidents Database'!C16)</f>
        <v>james buchanan</v>
      </c>
      <c r="C16" t="str">
        <f>PROPER('US_Presidents Database'!C16)</f>
        <v>James Buchanan</v>
      </c>
      <c r="D16" t="str">
        <f>TRIM('US_Presidents Database'!F16)</f>
        <v>John C. Breckinridge</v>
      </c>
    </row>
    <row r="17" spans="1:4" x14ac:dyDescent="0.35">
      <c r="A17" t="str">
        <f>UPPER('US_Presidents Database'!C17)</f>
        <v>ABRAHAM LINCOLN</v>
      </c>
      <c r="B17" t="str">
        <f>LOWER('US_Presidents Database'!C17)</f>
        <v>abraham lincoln</v>
      </c>
      <c r="C17" t="str">
        <f>PROPER('US_Presidents Database'!C17)</f>
        <v>Abraham Lincoln</v>
      </c>
      <c r="D17" t="str">
        <f>TRIM('US_Presidents Database'!F17)</f>
        <v>Hannibal Hamlin</v>
      </c>
    </row>
    <row r="18" spans="1:4" x14ac:dyDescent="0.35">
      <c r="A18" t="str">
        <f>UPPER('US_Presidents Database'!C18)</f>
        <v>ANDREW JOHNSON</v>
      </c>
      <c r="B18" t="str">
        <f>LOWER('US_Presidents Database'!C18)</f>
        <v>andrew johnson</v>
      </c>
      <c r="C18" t="str">
        <f>PROPER('US_Presidents Database'!C18)</f>
        <v>Andrew Johnson</v>
      </c>
      <c r="D18" t="str">
        <f>TRIM('US_Presidents Database'!F18)</f>
        <v>Office vacant</v>
      </c>
    </row>
    <row r="19" spans="1:4" x14ac:dyDescent="0.35">
      <c r="A19" t="str">
        <f>UPPER('US_Presidents Database'!C19)</f>
        <v>ULYSSES S. GRANT</v>
      </c>
      <c r="B19" t="str">
        <f>LOWER('US_Presidents Database'!C19)</f>
        <v>ulysses s. grant</v>
      </c>
      <c r="C19" t="str">
        <f>PROPER('US_Presidents Database'!C19)</f>
        <v>Ulysses S. Grant</v>
      </c>
      <c r="D19" t="str">
        <f>TRIM('US_Presidents Database'!F19)</f>
        <v>Schuyler Colfax</v>
      </c>
    </row>
    <row r="20" spans="1:4" x14ac:dyDescent="0.35">
      <c r="A20" t="str">
        <f>UPPER('US_Presidents Database'!C20)</f>
        <v>RUTHERFORD B. HAYES</v>
      </c>
      <c r="B20" t="str">
        <f>LOWER('US_Presidents Database'!C20)</f>
        <v>rutherford b. hayes</v>
      </c>
      <c r="C20" t="str">
        <f>PROPER('US_Presidents Database'!C20)</f>
        <v>Rutherford B. Hayes</v>
      </c>
      <c r="D20" t="str">
        <f>TRIM('US_Presidents Database'!F20)</f>
        <v>William A. Wheeler</v>
      </c>
    </row>
    <row r="21" spans="1:4" x14ac:dyDescent="0.35">
      <c r="A21" t="str">
        <f>UPPER('US_Presidents Database'!C21)</f>
        <v>JAMES A. GARFIELD</v>
      </c>
      <c r="B21" t="str">
        <f>LOWER('US_Presidents Database'!C21)</f>
        <v>james a. garfield</v>
      </c>
      <c r="C21" t="str">
        <f>PROPER('US_Presidents Database'!C21)</f>
        <v>James A. Garfield</v>
      </c>
      <c r="D21" t="str">
        <f>TRIM('US_Presidents Database'!F21)</f>
        <v>Chester A. Arthur</v>
      </c>
    </row>
    <row r="22" spans="1:4" x14ac:dyDescent="0.35">
      <c r="A22" t="str">
        <f>UPPER('US_Presidents Database'!C22)</f>
        <v>CHESTER A. ARTHUR</v>
      </c>
      <c r="B22" t="str">
        <f>LOWER('US_Presidents Database'!C22)</f>
        <v>chester a. arthur</v>
      </c>
      <c r="C22" t="str">
        <f>PROPER('US_Presidents Database'!C22)</f>
        <v>Chester A. Arthur</v>
      </c>
      <c r="D22" t="str">
        <f>TRIM('US_Presidents Database'!F22)</f>
        <v>Office vacant</v>
      </c>
    </row>
    <row r="23" spans="1:4" x14ac:dyDescent="0.35">
      <c r="A23" t="str">
        <f>UPPER('US_Presidents Database'!C23)</f>
        <v>GROVER CLEVELAND</v>
      </c>
      <c r="B23" t="str">
        <f>LOWER('US_Presidents Database'!C23)</f>
        <v>grover cleveland</v>
      </c>
      <c r="C23" t="str">
        <f>PROPER('US_Presidents Database'!C23)</f>
        <v>Grover Cleveland</v>
      </c>
      <c r="D23" t="str">
        <f>TRIM('US_Presidents Database'!F23)</f>
        <v>Thomas A. Hendricks</v>
      </c>
    </row>
    <row r="24" spans="1:4" x14ac:dyDescent="0.35">
      <c r="A24" t="str">
        <f>UPPER('US_Presidents Database'!C24)</f>
        <v>BENJAMIN HARRISON</v>
      </c>
      <c r="B24" t="str">
        <f>LOWER('US_Presidents Database'!C24)</f>
        <v>benjamin harrison</v>
      </c>
      <c r="C24" t="str">
        <f>PROPER('US_Presidents Database'!C24)</f>
        <v>Benjamin Harrison</v>
      </c>
      <c r="D24" t="str">
        <f>TRIM('US_Presidents Database'!F24)</f>
        <v>Levi P. Morton</v>
      </c>
    </row>
    <row r="25" spans="1:4" x14ac:dyDescent="0.35">
      <c r="A25" t="str">
        <f>UPPER('US_Presidents Database'!C25)</f>
        <v>GROVER CLEVELAND</v>
      </c>
      <c r="B25" t="str">
        <f>LOWER('US_Presidents Database'!C25)</f>
        <v>grover cleveland</v>
      </c>
      <c r="C25" t="str">
        <f>PROPER('US_Presidents Database'!C25)</f>
        <v>Grover Cleveland</v>
      </c>
      <c r="D25" t="str">
        <f>TRIM('US_Presidents Database'!F25)</f>
        <v>Adlai Stevenson</v>
      </c>
    </row>
    <row r="26" spans="1:4" x14ac:dyDescent="0.35">
      <c r="A26" t="str">
        <f>UPPER('US_Presidents Database'!C26)</f>
        <v>WILLIAM MCKINLEY</v>
      </c>
      <c r="B26" t="str">
        <f>LOWER('US_Presidents Database'!C26)</f>
        <v>william mckinley</v>
      </c>
      <c r="C26" t="str">
        <f>PROPER('US_Presidents Database'!C26)</f>
        <v>William Mckinley</v>
      </c>
      <c r="D26" t="str">
        <f>TRIM('US_Presidents Database'!F26)</f>
        <v>Garret Hobart</v>
      </c>
    </row>
    <row r="27" spans="1:4" x14ac:dyDescent="0.35">
      <c r="A27" t="str">
        <f>UPPER('US_Presidents Database'!C27)</f>
        <v>THEODORE ROOSEVELT</v>
      </c>
      <c r="B27" t="str">
        <f>LOWER('US_Presidents Database'!C27)</f>
        <v>theodore roosevelt</v>
      </c>
      <c r="C27" t="str">
        <f>PROPER('US_Presidents Database'!C27)</f>
        <v>Theodore Roosevelt</v>
      </c>
      <c r="D27" t="str">
        <f>TRIM('US_Presidents Database'!F27)</f>
        <v>Office vacant</v>
      </c>
    </row>
    <row r="28" spans="1:4" x14ac:dyDescent="0.35">
      <c r="A28" t="str">
        <f>UPPER('US_Presidents Database'!C28)</f>
        <v>WILLIAM HOWARD TAFT</v>
      </c>
      <c r="B28" t="str">
        <f>LOWER('US_Presidents Database'!C28)</f>
        <v>william howard taft</v>
      </c>
      <c r="C28" t="str">
        <f>PROPER('US_Presidents Database'!C28)</f>
        <v>William Howard Taft</v>
      </c>
      <c r="D28" t="str">
        <f>TRIM('US_Presidents Database'!F28)</f>
        <v>James S. Sherman</v>
      </c>
    </row>
    <row r="29" spans="1:4" x14ac:dyDescent="0.35">
      <c r="A29" t="str">
        <f>UPPER('US_Presidents Database'!C29)</f>
        <v>WOODROW WILSON</v>
      </c>
      <c r="B29" t="str">
        <f>LOWER('US_Presidents Database'!C29)</f>
        <v>woodrow wilson</v>
      </c>
      <c r="C29" t="str">
        <f>PROPER('US_Presidents Database'!C29)</f>
        <v>Woodrow Wilson</v>
      </c>
      <c r="D29" t="str">
        <f>TRIM('US_Presidents Database'!F29)</f>
        <v>Thomas R. Marshall</v>
      </c>
    </row>
    <row r="30" spans="1:4" x14ac:dyDescent="0.35">
      <c r="A30" t="str">
        <f>UPPER('US_Presidents Database'!C30)</f>
        <v>WOODROW WILSON</v>
      </c>
      <c r="B30" t="str">
        <f>LOWER('US_Presidents Database'!C30)</f>
        <v>woodrow wilson</v>
      </c>
      <c r="C30" t="str">
        <f>PROPER('US_Presidents Database'!C30)</f>
        <v>Woodrow Wilson</v>
      </c>
      <c r="D30" t="str">
        <f>TRIM('US_Presidents Database'!F30)</f>
        <v>Thomas R. Marshall</v>
      </c>
    </row>
    <row r="31" spans="1:4" x14ac:dyDescent="0.35">
      <c r="A31" t="str">
        <f>UPPER('US_Presidents Database'!C31)</f>
        <v>WARREN G. HARDING</v>
      </c>
      <c r="B31" t="str">
        <f>LOWER('US_Presidents Database'!C31)</f>
        <v>warren g. harding</v>
      </c>
      <c r="C31" t="str">
        <f>PROPER('US_Presidents Database'!C31)</f>
        <v>Warren G. Harding</v>
      </c>
      <c r="D31" t="str">
        <f>TRIM('US_Presidents Database'!F31)</f>
        <v>Calvin Coolidge</v>
      </c>
    </row>
    <row r="32" spans="1:4" x14ac:dyDescent="0.35">
      <c r="A32" t="str">
        <f>UPPER('US_Presidents Database'!C32)</f>
        <v>CALVIN COOLIDGE</v>
      </c>
      <c r="B32" t="str">
        <f>LOWER('US_Presidents Database'!C32)</f>
        <v>calvin coolidge</v>
      </c>
      <c r="C32" t="str">
        <f>PROPER('US_Presidents Database'!C32)</f>
        <v>Calvin Coolidge</v>
      </c>
      <c r="D32" t="str">
        <f>TRIM('US_Presidents Database'!F32)</f>
        <v>Office vacant</v>
      </c>
    </row>
    <row r="33" spans="1:4" x14ac:dyDescent="0.35">
      <c r="A33" t="str">
        <f>UPPER('US_Presidents Database'!C33)</f>
        <v>HERBERT HOOVER</v>
      </c>
      <c r="B33" t="str">
        <f>LOWER('US_Presidents Database'!C33)</f>
        <v>herbert hoover</v>
      </c>
      <c r="C33" t="str">
        <f>PROPER('US_Presidents Database'!C33)</f>
        <v>Herbert Hoover</v>
      </c>
      <c r="D33" t="str">
        <f>TRIM('US_Presidents Database'!F33)</f>
        <v>Charles Curtis</v>
      </c>
    </row>
    <row r="34" spans="1:4" x14ac:dyDescent="0.35">
      <c r="A34" t="str">
        <f>UPPER('US_Presidents Database'!C34)</f>
        <v>FRANKLIN D. ROOSEVELT</v>
      </c>
      <c r="B34" t="str">
        <f>LOWER('US_Presidents Database'!C34)</f>
        <v>franklin d. roosevelt</v>
      </c>
      <c r="C34" t="str">
        <f>PROPER('US_Presidents Database'!C34)</f>
        <v>Franklin D. Roosevelt</v>
      </c>
      <c r="D34" t="str">
        <f>TRIM('US_Presidents Database'!F34)</f>
        <v>John Nance Garner</v>
      </c>
    </row>
    <row r="35" spans="1:4" x14ac:dyDescent="0.35">
      <c r="A35" t="str">
        <f>UPPER('US_Presidents Database'!C35)</f>
        <v>HARRY S. TRUMAN</v>
      </c>
      <c r="B35" t="str">
        <f>LOWER('US_Presidents Database'!C35)</f>
        <v>harry s. truman</v>
      </c>
      <c r="C35" t="str">
        <f>PROPER('US_Presidents Database'!C35)</f>
        <v>Harry S. Truman</v>
      </c>
      <c r="D35" t="str">
        <f>TRIM('US_Presidents Database'!F35)</f>
        <v>Office vacant</v>
      </c>
    </row>
    <row r="36" spans="1:4" x14ac:dyDescent="0.35">
      <c r="A36" t="str">
        <f>UPPER('US_Presidents Database'!C36)</f>
        <v>DWIGHT D. EISENHOWER</v>
      </c>
      <c r="B36" t="str">
        <f>LOWER('US_Presidents Database'!C36)</f>
        <v>dwight d. eisenhower</v>
      </c>
      <c r="C36" t="str">
        <f>PROPER('US_Presidents Database'!C36)</f>
        <v>Dwight D. Eisenhower</v>
      </c>
      <c r="D36" t="str">
        <f>TRIM('US_Presidents Database'!F36)</f>
        <v>Richard Nixon</v>
      </c>
    </row>
    <row r="37" spans="1:4" x14ac:dyDescent="0.35">
      <c r="A37" t="str">
        <f>UPPER('US_Presidents Database'!C37)</f>
        <v>JOHN F. KENNEDY</v>
      </c>
      <c r="B37" t="str">
        <f>LOWER('US_Presidents Database'!C37)</f>
        <v>john f. kennedy</v>
      </c>
      <c r="C37" t="str">
        <f>PROPER('US_Presidents Database'!C37)</f>
        <v>John F. Kennedy</v>
      </c>
      <c r="D37" t="str">
        <f>TRIM('US_Presidents Database'!F37)</f>
        <v>Lyndon B. Johnson</v>
      </c>
    </row>
    <row r="38" spans="1:4" x14ac:dyDescent="0.35">
      <c r="A38" t="str">
        <f>UPPER('US_Presidents Database'!C38)</f>
        <v>LYNDON B. JOHNSON</v>
      </c>
      <c r="B38" t="str">
        <f>LOWER('US_Presidents Database'!C38)</f>
        <v>lyndon b. johnson</v>
      </c>
      <c r="C38" t="str">
        <f>PROPER('US_Presidents Database'!C38)</f>
        <v>Lyndon B. Johnson</v>
      </c>
      <c r="D38" t="str">
        <f>TRIM('US_Presidents Database'!F38)</f>
        <v>Office vacant</v>
      </c>
    </row>
    <row r="39" spans="1:4" x14ac:dyDescent="0.35">
      <c r="A39" t="str">
        <f>UPPER('US_Presidents Database'!C39)</f>
        <v>RICHARD NIXON</v>
      </c>
      <c r="B39" t="str">
        <f>LOWER('US_Presidents Database'!C39)</f>
        <v>richard nixon</v>
      </c>
      <c r="C39" t="str">
        <f>PROPER('US_Presidents Database'!C39)</f>
        <v>Richard Nixon</v>
      </c>
      <c r="D39" t="str">
        <f>TRIM('US_Presidents Database'!F39)</f>
        <v>Spiro Agnew</v>
      </c>
    </row>
    <row r="40" spans="1:4" x14ac:dyDescent="0.35">
      <c r="A40" t="str">
        <f>UPPER('US_Presidents Database'!C40)</f>
        <v>GERALD FORD</v>
      </c>
      <c r="B40" t="str">
        <f>LOWER('US_Presidents Database'!C40)</f>
        <v>gerald ford</v>
      </c>
      <c r="C40" t="str">
        <f>PROPER('US_Presidents Database'!C40)</f>
        <v>Gerald Ford</v>
      </c>
      <c r="D40" t="str">
        <f>TRIM('US_Presidents Database'!F40)</f>
        <v>Office vacant</v>
      </c>
    </row>
    <row r="41" spans="1:4" x14ac:dyDescent="0.35">
      <c r="A41" t="str">
        <f>UPPER('US_Presidents Database'!C41)</f>
        <v>JIMMY CARTER</v>
      </c>
      <c r="B41" t="str">
        <f>LOWER('US_Presidents Database'!C41)</f>
        <v>jimmy carter</v>
      </c>
      <c r="C41" t="str">
        <f>PROPER('US_Presidents Database'!C41)</f>
        <v>Jimmy Carter</v>
      </c>
      <c r="D41" t="str">
        <f>TRIM('US_Presidents Database'!F41)</f>
        <v>Walter Mondale</v>
      </c>
    </row>
    <row r="42" spans="1:4" x14ac:dyDescent="0.35">
      <c r="A42" t="str">
        <f>UPPER('US_Presidents Database'!C42)</f>
        <v>RONALD REAGAN</v>
      </c>
      <c r="B42" t="str">
        <f>LOWER('US_Presidents Database'!C42)</f>
        <v>ronald reagan</v>
      </c>
      <c r="C42" t="str">
        <f>PROPER('US_Presidents Database'!C42)</f>
        <v>Ronald Reagan</v>
      </c>
      <c r="D42" t="str">
        <f>TRIM('US_Presidents Database'!F42)</f>
        <v>George H. W. Bush</v>
      </c>
    </row>
    <row r="43" spans="1:4" x14ac:dyDescent="0.35">
      <c r="A43" t="str">
        <f>UPPER('US_Presidents Database'!C43)</f>
        <v>GEORGE H. W. BUSH</v>
      </c>
      <c r="B43" t="str">
        <f>LOWER('US_Presidents Database'!C43)</f>
        <v>george h. w. bush</v>
      </c>
      <c r="C43" t="str">
        <f>PROPER('US_Presidents Database'!C43)</f>
        <v>George H. W. Bush</v>
      </c>
      <c r="D43" t="str">
        <f>TRIM('US_Presidents Database'!F43)</f>
        <v>Dan Quayle</v>
      </c>
    </row>
    <row r="44" spans="1:4" x14ac:dyDescent="0.35">
      <c r="A44" t="str">
        <f>UPPER('US_Presidents Database'!C44)</f>
        <v>BILL CLINTON</v>
      </c>
      <c r="B44" t="str">
        <f>LOWER('US_Presidents Database'!C44)</f>
        <v>bill clinton</v>
      </c>
      <c r="C44" t="str">
        <f>PROPER('US_Presidents Database'!C44)</f>
        <v>Bill Clinton</v>
      </c>
      <c r="D44" t="str">
        <f>TRIM('US_Presidents Database'!F44)</f>
        <v>Al Gore</v>
      </c>
    </row>
    <row r="45" spans="1:4" x14ac:dyDescent="0.35">
      <c r="A45" t="str">
        <f>UPPER('US_Presidents Database'!C45)</f>
        <v>GEORGE W. BUSH</v>
      </c>
      <c r="B45" t="str">
        <f>LOWER('US_Presidents Database'!C45)</f>
        <v>george w. bush</v>
      </c>
      <c r="C45" t="str">
        <f>PROPER('US_Presidents Database'!C45)</f>
        <v>George W. Bush</v>
      </c>
      <c r="D45" t="str">
        <f>TRIM('US_Presidents Database'!F45)</f>
        <v>Dick Cheney</v>
      </c>
    </row>
    <row r="46" spans="1:4" x14ac:dyDescent="0.35">
      <c r="A46" t="str">
        <f>UPPER('US_Presidents Database'!C46)</f>
        <v>BARACK OBAMA</v>
      </c>
      <c r="B46" t="str">
        <f>LOWER('US_Presidents Database'!C46)</f>
        <v>barack obama</v>
      </c>
      <c r="C46" t="str">
        <f>PROPER('US_Presidents Database'!C46)</f>
        <v>Barack Obama</v>
      </c>
      <c r="D46" t="str">
        <f>TRIM('US_Presidents Database'!F46)</f>
        <v>Joe Biden</v>
      </c>
    </row>
    <row r="47" spans="1:4" x14ac:dyDescent="0.35">
      <c r="A47" t="str">
        <f>UPPER('US_Presidents Database'!C47)</f>
        <v>DONALD TRUMP</v>
      </c>
      <c r="B47" t="str">
        <f>LOWER('US_Presidents Database'!C47)</f>
        <v>donald trump</v>
      </c>
      <c r="C47" t="str">
        <f>PROPER('US_Presidents Database'!C47)</f>
        <v>Donald Trump</v>
      </c>
      <c r="D47" t="str">
        <f>TRIM('US_Presidents Database'!F47)</f>
        <v>Mike Pence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741da7a-79c1-417c-b408-16c0bfe99fca}" enabled="1" method="Standard" siteId="{1e355c04-e0a4-42ed-8e2d-7351591f0ef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US_Presidents Database</vt:lpstr>
      <vt:lpstr>US_Presidents Database Working</vt:lpstr>
      <vt:lpstr>WorkingData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Santanu Deb</cp:lastModifiedBy>
  <dcterms:created xsi:type="dcterms:W3CDTF">2022-02-27T01:14:16Z</dcterms:created>
  <dcterms:modified xsi:type="dcterms:W3CDTF">2026-04-18T15:54:13Z</dcterms:modified>
</cp:coreProperties>
</file>